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to E calculation" sheetId="1" state="visible" r:id="rId1"/>
    <sheet xmlns:r="http://schemas.openxmlformats.org/officeDocument/2006/relationships" name="Special-population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Caladea"/>
      <b val="1"/>
      <color rgb="FF1F5661"/>
      <sz val="16"/>
    </font>
    <font>
      <name val="Carlito"/>
      <b val="1"/>
      <color rgb="FF1E2A32"/>
      <sz val="10"/>
    </font>
    <font>
      <name val="Carlito"/>
      <i val="1"/>
      <color rgb="FF4A5B63"/>
      <sz val="9"/>
    </font>
    <font>
      <name val="Carlito"/>
      <color rgb="FF1E2A32"/>
      <sz val="10"/>
    </font>
    <font>
      <name val="Caladea"/>
      <b val="1"/>
      <color rgb="FF1F5661"/>
      <sz val="11.5"/>
    </font>
    <font>
      <name val="Carlito"/>
      <b val="1"/>
      <color rgb="00FFFFFF"/>
      <sz val="10"/>
    </font>
    <font>
      <name val="Carlito"/>
      <b val="1"/>
      <color rgb="FF9A3412"/>
      <sz val="10"/>
    </font>
  </fonts>
  <fills count="6">
    <fill>
      <patternFill/>
    </fill>
    <fill>
      <patternFill patternType="gray125"/>
    </fill>
    <fill>
      <patternFill patternType="solid">
        <fgColor rgb="FF1F5661"/>
      </patternFill>
    </fill>
    <fill>
      <patternFill patternType="solid">
        <fgColor rgb="FFFFF4E0"/>
      </patternFill>
    </fill>
    <fill>
      <patternFill patternType="solid">
        <fgColor rgb="FFE8EFEF"/>
      </patternFill>
    </fill>
    <fill>
      <patternFill patternType="solid">
        <fgColor rgb="FFF2F7F7"/>
      </patternFill>
    </fill>
  </fills>
  <borders count="2">
    <border>
      <left/>
      <right/>
      <top/>
      <bottom/>
      <diagonal/>
    </border>
    <border>
      <left style="thin">
        <color rgb="FF9FBAC0"/>
      </left>
      <right style="thin">
        <color rgb="FF9FBAC0"/>
      </right>
      <top style="thin">
        <color rgb="FF9FBAC0"/>
      </top>
      <bottom style="thin">
        <color rgb="FF9FBAC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52" customWidth="1" min="5" max="5"/>
  </cols>
  <sheetData>
    <row r="1">
      <c r="A1" s="1" t="inlineStr">
        <is>
          <t>T-12 — Observed-to-Expected Worksheet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Use when a countable denominator exists and an external background rate can be applied — vaccination campaigns, mass-administered products, and defined risk windows.</t>
        </is>
      </c>
    </row>
    <row r="6">
      <c r="A6" s="5" t="inlineStr">
        <is>
          <t>Chapter 10. Amber cells are inputs; every other value is a live formula. Pre-populated with the NeuVax-7 campaign-week-14 example. All figures illustrative.</t>
        </is>
      </c>
    </row>
    <row r="7">
      <c r="A7" s="5" t="inlineStr">
        <is>
          <t>An observed-to-expected ratio compares a count against an expectation derived from external data. It is not a rate ratio from a controlled comparison, and it is not a causal statement.</t>
        </is>
      </c>
    </row>
    <row r="9">
      <c r="A9" s="6" t="inlineStr">
        <is>
          <t>1. Inputs</t>
        </is>
      </c>
    </row>
    <row r="10">
      <c r="A10" s="7" t="inlineStr">
        <is>
          <t>Input</t>
        </is>
      </c>
      <c r="B10" s="7" t="inlineStr">
        <is>
          <t>Value</t>
        </is>
      </c>
      <c r="C10" s="7" t="inlineStr">
        <is>
          <t>Unit</t>
        </is>
      </c>
      <c r="D10" s="7" t="inlineStr"/>
      <c r="E10" s="7" t="inlineStr">
        <is>
          <t>What a good entry looks like</t>
        </is>
      </c>
    </row>
    <row r="11">
      <c r="A11" s="8" t="inlineStr">
        <is>
          <t>Doses administered (or persons exposed)</t>
        </is>
      </c>
      <c r="B11" s="9" t="n">
        <v>1000000</v>
      </c>
      <c r="C11" s="8" t="inlineStr">
        <is>
          <t>doses</t>
        </is>
      </c>
      <c r="D11" s="8" t="n"/>
      <c r="E11" s="10" t="inlineStr">
        <is>
          <t>From distribution or immunization-registry data, with the source named and the date it was extracted.</t>
        </is>
      </c>
    </row>
    <row r="12">
      <c r="A12" s="11" t="inlineStr">
        <is>
          <t>Risk window per dose</t>
        </is>
      </c>
      <c r="B12" s="9" t="n">
        <v>7</v>
      </c>
      <c r="C12" s="11" t="inlineStr">
        <is>
          <t>days</t>
        </is>
      </c>
      <c r="D12" s="11" t="n"/>
      <c r="E12" s="12" t="inlineStr">
        <is>
          <t>Specified in advance from the biological hypothesis, not chosen after inspecting the data.</t>
        </is>
      </c>
    </row>
    <row r="13">
      <c r="A13" s="8" t="inlineStr">
        <is>
          <t>Days per year used for conversion</t>
        </is>
      </c>
      <c r="B13" s="9" t="n">
        <v>365.25</v>
      </c>
      <c r="C13" s="8" t="inlineStr">
        <is>
          <t>days</t>
        </is>
      </c>
      <c r="D13" s="8" t="n"/>
      <c r="E13" s="10" t="inlineStr">
        <is>
          <t>365.25 throughout the book; state whichever convention you use and keep it constant.</t>
        </is>
      </c>
    </row>
    <row r="14">
      <c r="A14" s="11" t="inlineStr">
        <is>
          <t>Background rate</t>
        </is>
      </c>
      <c r="B14" s="9" t="n">
        <v>50</v>
      </c>
      <c r="C14" s="11" t="inlineStr">
        <is>
          <t>cases per 1,000,000 person-years</t>
        </is>
      </c>
      <c r="D14" s="11" t="n"/>
      <c r="E14" s="12" t="inlineStr">
        <is>
          <t>Age-adjusted, with the source, the population it describes, and the ascertainment method recorded below.</t>
        </is>
      </c>
    </row>
    <row r="15">
      <c r="A15" s="8" t="inlineStr">
        <is>
          <t>Observed cases in the risk window</t>
        </is>
      </c>
      <c r="B15" s="9" t="n">
        <v>12</v>
      </c>
      <c r="C15" s="8" t="inlineStr">
        <is>
          <t>cases</t>
        </is>
      </c>
      <c r="D15" s="8" t="n"/>
      <c r="E15" s="10" t="inlineStr">
        <is>
          <t>Reported cases meeting the retrieval; the case-definition restriction is applied in section 3, not here.</t>
        </is>
      </c>
    </row>
    <row r="17">
      <c r="A17" s="6" t="inlineStr">
        <is>
          <t>2. Calculation — live formulas</t>
        </is>
      </c>
    </row>
    <row r="18">
      <c r="A18" s="7" t="inlineStr">
        <is>
          <t>Step</t>
        </is>
      </c>
      <c r="B18" s="7" t="inlineStr">
        <is>
          <t>Value</t>
        </is>
      </c>
      <c r="C18" s="7" t="inlineStr">
        <is>
          <t>95% lower</t>
        </is>
      </c>
      <c r="D18" s="7" t="inlineStr">
        <is>
          <t>95% upper</t>
        </is>
      </c>
      <c r="E18" s="7" t="inlineStr">
        <is>
          <t>Formula as computed</t>
        </is>
      </c>
    </row>
    <row r="19">
      <c r="A19" s="13" t="inlineStr">
        <is>
          <t>Person-time at risk (person-years)</t>
        </is>
      </c>
      <c r="B19" s="14">
        <f>B11*B12/B13</f>
        <v/>
      </c>
      <c r="C19" s="8" t="n"/>
      <c r="D19" s="8" t="n"/>
      <c r="E19" s="10" t="inlineStr">
        <is>
          <t>Person-time = doses × risk-window days ÷ days per year. Each dose is credited with a full window, which slightly overstates person-time near the data cut.</t>
        </is>
      </c>
    </row>
    <row r="20">
      <c r="A20" s="15" t="inlineStr">
        <is>
          <t>Expected count</t>
        </is>
      </c>
      <c r="B20" s="16">
        <f>B14/1000000*B19</f>
        <v/>
      </c>
      <c r="C20" s="11" t="n"/>
      <c r="D20" s="11" t="n"/>
      <c r="E20" s="12" t="inlineStr">
        <is>
          <t>Expected = (background rate ÷ 1,000,000) × person-years.</t>
        </is>
      </c>
    </row>
    <row r="21">
      <c r="A21" s="13" t="inlineStr">
        <is>
          <t>Observed-to-expected ratio</t>
        </is>
      </c>
      <c r="B21" s="17">
        <f>B15/B20</f>
        <v/>
      </c>
      <c r="C21" s="17">
        <f>IF(B15=0,0,CHIINV(0.975,2*B15)/2/B20)</f>
        <v/>
      </c>
      <c r="D21" s="17">
        <f>CHIINV(0.025,2*(B15+1))/2/B20</f>
        <v/>
      </c>
      <c r="E21" s="10" t="inlineStr">
        <is>
          <t>O/E = observed ÷ expected. Interval is an exact Poisson interval on the observed count: lower = χ²(0.025, 2O)/2, upper = χ²(0.975, 2(O+1))/2, each divided by the expected count.</t>
        </is>
      </c>
    </row>
    <row r="22">
      <c r="A22" s="5" t="inlineStr">
        <is>
          <t>Worked check: 1,000,000 doses × 7 ÷ 365.25 = 19,165 person-years; 50/1,000,000 × 19,165 = 0.958 expected; 12 ÷ 0.958 = 12.5 (95% CI 6.5 to 21.9).</t>
        </is>
      </c>
    </row>
    <row r="24">
      <c r="A24" s="6" t="inlineStr">
        <is>
          <t>3. Case-definition sensitivity — restrict the numerator, hold the denominator</t>
        </is>
      </c>
    </row>
    <row r="25">
      <c r="A25" s="7" t="inlineStr">
        <is>
          <t>Case-definition level applied</t>
        </is>
      </c>
      <c r="B25" s="7" t="inlineStr">
        <is>
          <t>Cases</t>
        </is>
      </c>
      <c r="C25" s="7" t="inlineStr">
        <is>
          <t>O/E</t>
        </is>
      </c>
      <c r="D25" s="7" t="inlineStr">
        <is>
          <t>95% CI lower</t>
        </is>
      </c>
      <c r="E25" s="7" t="inlineStr">
        <is>
          <t>95% CI upper</t>
        </is>
      </c>
    </row>
    <row r="26">
      <c r="A26" s="8" t="inlineStr">
        <is>
          <t>All reported cases retrieved</t>
        </is>
      </c>
      <c r="B26" s="18" t="n">
        <v>12</v>
      </c>
      <c r="C26" s="17">
        <f>IF(B26="","",B26/B20)</f>
        <v/>
      </c>
      <c r="D26" s="17">
        <f>IF(B26="","",IF(B26=0,0,CHIINV(0.975,2*B26)/2/B20))</f>
        <v/>
      </c>
      <c r="E26" s="17">
        <f>IF(B26="","",CHIINV(0.025,2*(B26+1))/2/B20)</f>
        <v/>
      </c>
    </row>
    <row r="27">
      <c r="A27" s="11" t="inlineStr">
        <is>
          <t>Brighton-style level 1–2 only (primary analysis)</t>
        </is>
      </c>
      <c r="B27" s="18" t="n">
        <v>8</v>
      </c>
      <c r="C27" s="17">
        <f>IF(B27="","",B27/B20)</f>
        <v/>
      </c>
      <c r="D27" s="17">
        <f>IF(B27="","",IF(B27=0,0,CHIINV(0.975,2*B27)/2/B20))</f>
        <v/>
      </c>
      <c r="E27" s="17">
        <f>IF(B27="","",CHIINV(0.025,2*(B27+1))/2/B20)</f>
        <v/>
      </c>
    </row>
    <row r="28">
      <c r="A28" s="8" t="inlineStr">
        <is>
          <t>Levels 1–3</t>
        </is>
      </c>
      <c r="B28" s="18" t="n">
        <v>11</v>
      </c>
      <c r="C28" s="17">
        <f>IF(B28="","",B28/B20)</f>
        <v/>
      </c>
      <c r="D28" s="17">
        <f>IF(B28="","",IF(B28=0,0,CHIINV(0.975,2*B28)/2/B20))</f>
        <v/>
      </c>
      <c r="E28" s="17">
        <f>IF(B28="","",CHIINV(0.025,2*(B28+1))/2/B20)</f>
        <v/>
      </c>
    </row>
    <row r="29">
      <c r="A29" s="11" t="inlineStr">
        <is>
          <t>Level 1–2 plus unclassifiable, as an upper bound</t>
        </is>
      </c>
      <c r="B29" s="18" t="n">
        <v>9</v>
      </c>
      <c r="C29" s="17">
        <f>IF(B29="","",B29/B20)</f>
        <v/>
      </c>
      <c r="D29" s="17">
        <f>IF(B29="","",IF(B29=0,0,CHIINV(0.975,2*B29)/2/B20))</f>
        <v/>
      </c>
      <c r="E29" s="17">
        <f>IF(B29="","",CHIINV(0.025,2*(B29+1))/2/B20)</f>
        <v/>
      </c>
    </row>
    <row r="30">
      <c r="A30" s="5" t="inlineStr">
        <is>
          <t>Of the 12 NeuVax-7 reports, 8 meet a level 1–2 definition, 3 meet only level 3, and 1 is unclassifiable. The primary analysis uses the higher-certainty levels; the lower levels enter sensitivity analyses.</t>
        </is>
      </c>
    </row>
    <row r="32">
      <c r="A32" s="6" t="inlineStr">
        <is>
          <t>4. Background-rate sensitivity — the assumption that moves the answer most</t>
        </is>
      </c>
    </row>
    <row r="33">
      <c r="A33" s="7" t="inlineStr">
        <is>
          <t>Background rate (per 1,000,000 PY)</t>
        </is>
      </c>
      <c r="B33" s="7" t="inlineStr">
        <is>
          <t>Expected</t>
        </is>
      </c>
      <c r="C33" s="7" t="inlineStr">
        <is>
          <t>O/E at the observed count</t>
        </is>
      </c>
      <c r="D33" s="7" t="inlineStr">
        <is>
          <t>Source of this rate</t>
        </is>
      </c>
      <c r="E33" s="7" t="inlineStr">
        <is>
          <t>Population it describes</t>
        </is>
      </c>
    </row>
    <row r="34">
      <c r="A34" s="18" t="n">
        <v>35</v>
      </c>
      <c r="B34" s="16">
        <f>IF(A34="","",A34/1000000*B19)</f>
        <v/>
      </c>
      <c r="C34" s="17">
        <f>IF(A34="","",B15/(A34/1000000*B19))</f>
        <v/>
      </c>
      <c r="D34" s="10" t="inlineStr">
        <is>
          <t>Published lower bound of the cited range</t>
        </is>
      </c>
      <c r="E34" s="10" t="inlineStr">
        <is>
          <t>General population, age-adjusted</t>
        </is>
      </c>
    </row>
    <row r="35">
      <c r="A35" s="18" t="n">
        <v>50</v>
      </c>
      <c r="B35" s="16">
        <f>IF(A35="","",A35/1000000*B19)</f>
        <v/>
      </c>
      <c r="C35" s="17">
        <f>IF(A35="","",B15/(A35/1000000*B19))</f>
        <v/>
      </c>
      <c r="D35" s="12" t="inlineStr">
        <is>
          <t>Point estimate used in the primary analysis</t>
        </is>
      </c>
      <c r="E35" s="12" t="inlineStr">
        <is>
          <t>General population, age-adjusted</t>
        </is>
      </c>
    </row>
    <row r="36">
      <c r="A36" s="18" t="n">
        <v>70</v>
      </c>
      <c r="B36" s="16">
        <f>IF(A36="","",A36/1000000*B19)</f>
        <v/>
      </c>
      <c r="C36" s="17">
        <f>IF(A36="","",B15/(A36/1000000*B19))</f>
        <v/>
      </c>
      <c r="D36" s="10" t="inlineStr">
        <is>
          <t>Published upper bound of the cited range</t>
        </is>
      </c>
      <c r="E36" s="10" t="inlineStr">
        <is>
          <t>General population, age-adjusted</t>
        </is>
      </c>
    </row>
    <row r="37">
      <c r="A37" s="18" t="n"/>
      <c r="B37" s="16">
        <f>IF(A37="","",A37/1000000*B19)</f>
        <v/>
      </c>
      <c r="C37" s="17">
        <f>IF(A37="","",B15/(A37/1000000*B19))</f>
        <v/>
      </c>
      <c r="D37" s="12" t="inlineStr"/>
      <c r="E37" s="12" t="inlineStr"/>
    </row>
    <row r="38">
      <c r="A38" s="5" t="inlineStr">
        <is>
          <t>Two single decisions, neither of them a data error, move the point estimate from 8.4 to 17.9. Any public statement built on a single ratio is built on a number that was never that precise.</t>
        </is>
      </c>
    </row>
    <row r="40">
      <c r="A40" s="6" t="inlineStr">
        <is>
          <t>5. Assumptions that remain embedded in every row above</t>
        </is>
      </c>
    </row>
    <row r="41">
      <c r="A41" s="7" t="inlineStr">
        <is>
          <t>Assumption</t>
        </is>
      </c>
      <c r="B41" s="7" t="inlineStr">
        <is>
          <t>Direction of the resulting bias</t>
        </is>
      </c>
      <c r="C41" s="7" t="inlineStr"/>
      <c r="D41" s="7" t="inlineStr"/>
      <c r="E41" s="7" t="inlineStr">
        <is>
          <t>How it was handled here</t>
        </is>
      </c>
    </row>
    <row r="42">
      <c r="A42" s="8" t="inlineStr">
        <is>
          <t>Each dose is credited with a full risk window</t>
        </is>
      </c>
      <c r="B42" s="8" t="inlineStr">
        <is>
          <t>Overstates person-time, therefore understates O/E</t>
        </is>
      </c>
      <c r="C42" s="8" t="n"/>
      <c r="D42" s="8" t="n"/>
      <c r="E42" s="10" t="inlineStr">
        <is>
          <t>State whether doses near the data cut were truncated.</t>
        </is>
      </c>
    </row>
    <row r="43">
      <c r="A43" s="11" t="inlineStr">
        <is>
          <t>Reporting completeness is unknown</t>
        </is>
      </c>
      <c r="B43" s="11" t="inlineStr">
        <is>
          <t>Understates the observed count, therefore understates O/E — the one bias running the other way</t>
        </is>
      </c>
      <c r="C43" s="11" t="n"/>
      <c r="D43" s="11" t="n"/>
      <c r="E43" s="12" t="inlineStr">
        <is>
          <t>Record any capture-recapture or active-surveillance estimate available.</t>
        </is>
      </c>
    </row>
    <row r="44">
      <c r="A44" s="8" t="inlineStr">
        <is>
          <t>Background rate is drawn from a general population</t>
        </is>
      </c>
      <c r="B44" s="8" t="inlineStr">
        <is>
          <t>Direction unknown; vaccinated or treated people may differ</t>
        </is>
      </c>
      <c r="C44" s="8" t="n"/>
      <c r="D44" s="8" t="n"/>
      <c r="E44" s="10" t="inlineStr">
        <is>
          <t>Name the published source and its own confidence interval.</t>
        </is>
      </c>
    </row>
    <row r="45">
      <c r="A45" s="11" t="inlineStr">
        <is>
          <t>Risk window fixed in advance</t>
        </is>
      </c>
      <c r="B45" s="11" t="inlineStr">
        <is>
          <t>Misspecification dilutes or inflates the count</t>
        </is>
      </c>
      <c r="C45" s="11" t="n"/>
      <c r="D45" s="11" t="n"/>
      <c r="E45" s="12" t="inlineStr">
        <is>
          <t>State the biological basis, and run the alternative window as a sensitivity analysis.</t>
        </is>
      </c>
    </row>
    <row r="46">
      <c r="A46" s="8" t="inlineStr">
        <is>
          <t>Cases counted once per person</t>
        </is>
      </c>
      <c r="B46" s="8" t="inlineStr">
        <is>
          <t>Duplicates inflate the numerator</t>
        </is>
      </c>
      <c r="C46" s="8" t="n"/>
      <c r="D46" s="8" t="n"/>
      <c r="E46" s="10" t="inlineStr">
        <is>
          <t>Record the duplicate-management method and the number removed.</t>
        </is>
      </c>
    </row>
    <row r="48">
      <c r="A48" s="6" t="inlineStr">
        <is>
          <t>6. Conclusion</t>
        </is>
      </c>
    </row>
    <row r="49">
      <c r="A49" s="7" t="inlineStr">
        <is>
          <t>Field</t>
        </is>
      </c>
      <c r="B49" s="7" t="inlineStr">
        <is>
          <t>What to write</t>
        </is>
      </c>
      <c r="C49" s="7" t="inlineStr"/>
      <c r="D49" s="7" t="inlineStr"/>
      <c r="E49" s="7" t="inlineStr">
        <is>
          <t>Your entry</t>
        </is>
      </c>
    </row>
    <row r="50">
      <c r="A50" s="13" t="inlineStr">
        <is>
          <t>What the analysis supports</t>
        </is>
      </c>
      <c r="B50" s="10" t="inlineStr">
        <is>
          <t>That the reported count is above expectation by a margin that does or does not survive reasonable variation, and what verificatory action follows.</t>
        </is>
      </c>
      <c r="C50" s="8" t="n"/>
      <c r="D50" s="8" t="n"/>
      <c r="E50" s="19" t="inlineStr"/>
    </row>
    <row r="51">
      <c r="A51" s="15" t="inlineStr">
        <is>
          <t>What it does not support</t>
        </is>
      </c>
      <c r="B51" s="12" t="inlineStr">
        <is>
          <t>A causal conclusion, an attributable risk, or a single headline ratio.</t>
        </is>
      </c>
      <c r="C51" s="11" t="n"/>
      <c r="D51" s="11" t="n"/>
      <c r="E51" s="19" t="inlineStr"/>
    </row>
    <row r="52">
      <c r="A52" s="13" t="inlineStr">
        <is>
          <t>Proportionate next steps</t>
        </is>
      </c>
      <c r="B52" s="10" t="inlineStr">
        <is>
          <t>Enhanced surveillance with active ascertainment; a self-controlled case series in a linked database; communication that states the range.</t>
        </is>
      </c>
      <c r="C52" s="8" t="n"/>
      <c r="D52" s="8" t="n"/>
      <c r="E52" s="19" t="inlineStr"/>
    </row>
    <row r="53">
      <c r="A53" s="15" t="inlineStr">
        <is>
          <t>Analyst, reviewer, date</t>
        </is>
      </c>
      <c r="B53" s="12" t="inlineStr">
        <is>
          <t>Names, roles, dates.</t>
        </is>
      </c>
      <c r="C53" s="11" t="n"/>
      <c r="D53" s="11" t="n"/>
      <c r="E53" s="19" t="inlineStr"/>
    </row>
    <row r="55">
      <c r="A55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mergeCells count="9">
    <mergeCell ref="B42:D42"/>
    <mergeCell ref="B45:D45"/>
    <mergeCell ref="B46:D46"/>
    <mergeCell ref="B50:D50"/>
    <mergeCell ref="B52:D52"/>
    <mergeCell ref="B44:D44"/>
    <mergeCell ref="B53:D53"/>
    <mergeCell ref="B43:D43"/>
    <mergeCell ref="B51:D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46" customWidth="1" min="4" max="4"/>
    <col width="16" customWidth="1" min="5" max="5"/>
  </cols>
  <sheetData>
    <row r="1">
      <c r="A1" s="1" t="inlineStr">
        <is>
          <t>T-12 — Special-population assessment checklist (see also T-22)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Complete before any special-population estimate is interpreted. Each item is a question whose unanswered state invalidates the estimate rather than merely weakening it.</t>
        </is>
      </c>
    </row>
    <row r="7">
      <c r="A7" s="7" t="inlineStr">
        <is>
          <t>#</t>
        </is>
      </c>
      <c r="B7" s="7" t="inlineStr">
        <is>
          <t>Item</t>
        </is>
      </c>
      <c r="C7" s="7" t="inlineStr">
        <is>
          <t>Question to answer before interpreting the estimate</t>
        </is>
      </c>
      <c r="D7" s="7" t="inlineStr">
        <is>
          <t>Your answer</t>
        </is>
      </c>
      <c r="E7" s="7" t="inlineStr">
        <is>
          <t>Answered (Y/N)</t>
        </is>
      </c>
    </row>
    <row r="8" ht="32" customHeight="1">
      <c r="A8" s="8" t="n">
        <v>1</v>
      </c>
      <c r="B8" s="13" t="inlineStr">
        <is>
          <t>Background rate</t>
        </is>
      </c>
      <c r="C8" s="8" t="inlineStr">
        <is>
          <t>What is the source, the population it describes, the ascertainment method, and its own published range?</t>
        </is>
      </c>
      <c r="D8" s="19" t="inlineStr"/>
      <c r="E8" s="19" t="inlineStr"/>
    </row>
    <row r="9" ht="32" customHeight="1">
      <c r="A9" s="11" t="n">
        <v>2</v>
      </c>
      <c r="B9" s="15" t="inlineStr">
        <is>
          <t>Exposure timing</t>
        </is>
      </c>
      <c r="C9" s="11" t="inlineStr">
        <is>
          <t>Is exposure dated precisely enough for the hypothesized window (dose number, gestational week, treatment line, lot date)?</t>
        </is>
      </c>
      <c r="D9" s="19" t="inlineStr"/>
      <c r="E9" s="19" t="inlineStr"/>
    </row>
    <row r="10" ht="32" customHeight="1">
      <c r="A10" s="8" t="n">
        <v>3</v>
      </c>
      <c r="B10" s="13" t="inlineStr">
        <is>
          <t>Case definition</t>
        </is>
      </c>
      <c r="C10" s="8" t="inlineStr">
        <is>
          <t>Is there a graded clinical definition, and how many cases meet each level?</t>
        </is>
      </c>
      <c r="D10" s="19" t="inlineStr"/>
      <c r="E10" s="19" t="inlineStr"/>
    </row>
    <row r="11" ht="32" customHeight="1">
      <c r="A11" s="11" t="n">
        <v>4</v>
      </c>
      <c r="B11" s="15" t="inlineStr">
        <is>
          <t>Denominator</t>
        </is>
      </c>
      <c r="C11" s="11" t="inlineStr">
        <is>
          <t>What person-time or population is at risk, how was it derived, and what does it assume?</t>
        </is>
      </c>
      <c r="D11" s="19" t="inlineStr"/>
      <c r="E11" s="19" t="inlineStr"/>
    </row>
    <row r="12" ht="32" customHeight="1">
      <c r="A12" s="8" t="n">
        <v>5</v>
      </c>
      <c r="B12" s="13" t="inlineStr">
        <is>
          <t>Confounders</t>
        </is>
      </c>
      <c r="C12" s="8" t="inlineStr">
        <is>
          <t>What in the disease, regimen, device or setting could produce this pattern without the product?</t>
        </is>
      </c>
      <c r="D12" s="19" t="inlineStr"/>
      <c r="E12" s="19" t="inlineStr"/>
    </row>
    <row r="13" ht="32" customHeight="1">
      <c r="A13" s="11" t="n">
        <v>6</v>
      </c>
      <c r="B13" s="15" t="inlineStr">
        <is>
          <t>Comparator</t>
        </is>
      </c>
      <c r="C13" s="11" t="inlineStr">
        <is>
          <t>Is there a concurrent, disease-matched or self-controlled comparison, and if not, what replaces it?</t>
        </is>
      </c>
      <c r="D13" s="19" t="inlineStr"/>
      <c r="E13" s="19" t="inlineStr"/>
    </row>
    <row r="14" ht="32" customHeight="1">
      <c r="A14" s="8" t="n">
        <v>7</v>
      </c>
      <c r="B14" s="13" t="inlineStr">
        <is>
          <t>Follow-up completeness</t>
        </is>
      </c>
      <c r="C14" s="8" t="inlineStr">
        <is>
          <t>What proportion of exposed individuals has a known outcome, and are the missing ones different?</t>
        </is>
      </c>
      <c r="D14" s="19" t="inlineStr"/>
      <c r="E14" s="19" t="inlineStr"/>
    </row>
    <row r="15" ht="32" customHeight="1">
      <c r="A15" s="11" t="n">
        <v>8</v>
      </c>
      <c r="B15" s="15" t="inlineStr">
        <is>
          <t>Sensitivity analyses</t>
        </is>
      </c>
      <c r="C15" s="11" t="inlineStr">
        <is>
          <t>How far does the estimate move under each plausible alternative assumption?</t>
        </is>
      </c>
      <c r="D15" s="19" t="inlineStr"/>
      <c r="E15" s="19" t="inlineStr"/>
    </row>
    <row r="17">
      <c r="A17" s="5" t="inlineStr">
        <is>
          <t>Used at the start, the checklist determines what data must be assembled. Used at review, it explains why a number that looks decisive is not.</t>
        </is>
      </c>
    </row>
    <row r="19">
      <c r="A19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2026-09-14T16:53:49Z</dcterms:created>
  <dcterms:modified xmlns:dcterms="http://purl.org/dc/terms/" xmlns:xsi="http://www.w3.org/2001/XMLSchema-instance" xsi:type="dcterms:W3CDTF">2026-09-14T16:53:49Z</dcterms:modified>
</cp:coreProperties>
</file>