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ictionary" sheetId="1" state="visible" r:id="rId1"/>
    <sheet xmlns:r="http://schemas.openxmlformats.org/officeDocument/2006/relationships" name="Period calculation" sheetId="2" state="visible" r:id="rId2"/>
    <sheet xmlns:r="http://schemas.openxmlformats.org/officeDocument/2006/relationships" name="Dashboard spec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00"/>
  </numFmts>
  <fonts count="8">
    <font>
      <name val="Calibri"/>
      <family val="2"/>
      <color theme="1"/>
      <sz val="11"/>
      <scheme val="minor"/>
    </font>
    <font>
      <name val="Caladea"/>
      <b val="1"/>
      <color rgb="FF1F5661"/>
      <sz val="16"/>
    </font>
    <font>
      <name val="Carlito"/>
      <b val="1"/>
      <color rgb="FF1E2A32"/>
      <sz val="10"/>
    </font>
    <font>
      <name val="Carlito"/>
      <i val="1"/>
      <color rgb="FF4A5B63"/>
      <sz val="9"/>
    </font>
    <font>
      <name val="Carlito"/>
      <color rgb="FF1E2A32"/>
      <sz val="10"/>
    </font>
    <font>
      <name val="Carlito"/>
      <b val="1"/>
      <color rgb="00FFFFFF"/>
      <sz val="10"/>
    </font>
    <font>
      <name val="Carlito"/>
      <b val="1"/>
      <color rgb="FF9A3412"/>
      <sz val="10"/>
    </font>
    <font>
      <name val="Caladea"/>
      <b val="1"/>
      <color rgb="FF1F5661"/>
      <sz val="11.5"/>
    </font>
  </fonts>
  <fills count="6">
    <fill>
      <patternFill/>
    </fill>
    <fill>
      <patternFill patternType="gray125"/>
    </fill>
    <fill>
      <patternFill patternType="solid">
        <fgColor rgb="FF1F5661"/>
      </patternFill>
    </fill>
    <fill>
      <patternFill patternType="solid">
        <fgColor rgb="FFE8EFEF"/>
      </patternFill>
    </fill>
    <fill>
      <patternFill patternType="solid">
        <fgColor rgb="FFFFF4E0"/>
      </patternFill>
    </fill>
    <fill>
      <patternFill patternType="solid">
        <fgColor rgb="FFF2F7F7"/>
      </patternFill>
    </fill>
  </fills>
  <borders count="2">
    <border>
      <left/>
      <right/>
      <top/>
      <bottom/>
      <diagonal/>
    </border>
    <border>
      <left style="thin">
        <color rgb="FF9FBAC0"/>
      </left>
      <right style="thin">
        <color rgb="FF9FBAC0"/>
      </right>
      <top style="thin">
        <color rgb="FF9FBAC0"/>
      </top>
      <bottom style="thin">
        <color rgb="FF9FBAC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5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5" fontId="4" fillId="5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1" fontId="4" fillId="5" borderId="1" applyAlignment="1" pivotButton="0" quotePrefix="0" xfId="0">
      <alignment vertical="top" wrapText="1"/>
    </xf>
    <xf numFmtId="166" fontId="4" fillId="5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40" customWidth="1" min="3" max="3"/>
    <col width="36" customWidth="1" min="4" max="4"/>
    <col width="28" customWidth="1" min="5" max="5"/>
    <col width="22" customWidth="1" min="6" max="6"/>
    <col width="26" customWidth="1" min="7" max="7"/>
    <col width="22" customWidth="1" min="8" max="8"/>
    <col width="40" customWidth="1" min="9" max="9"/>
    <col width="44" customWidth="1" min="10" max="10"/>
  </cols>
  <sheetData>
    <row r="1">
      <c r="A1" s="1" t="inlineStr">
        <is>
          <t>T-20 — KPI Dictionary and Dashboard Specification</t>
        </is>
      </c>
    </row>
    <row r="2">
      <c r="A2" s="2" t="inlineStr">
        <is>
          <t>Signal Management in Pharmacovigilance</t>
        </is>
      </c>
    </row>
    <row r="3">
      <c r="A3" s="3" t="inlineStr">
        <is>
          <t>Dr. Hafez Selim, MD, PhD  ·  Selim Medical Press</t>
        </is>
      </c>
    </row>
    <row r="4">
      <c r="A4" s="4" t="inlineStr">
        <is>
          <t>When to use: The controlled document that makes a dashboard interpretable and stops definitions drifting between quarters.</t>
        </is>
      </c>
    </row>
    <row r="6">
      <c r="A6" s="5" t="inlineStr">
        <is>
          <t>Chapter 25. Targets are an illustrative company design, not a regulatory requirement. Any change to a numerator, denominator or target passes through documented change control, with the prior definition retained so historical series stay interpretable.</t>
        </is>
      </c>
    </row>
    <row r="8">
      <c r="A8" s="6" t="inlineStr">
        <is>
          <t>ID</t>
        </is>
      </c>
      <c r="B8" s="6" t="inlineStr">
        <is>
          <t>Indicator</t>
        </is>
      </c>
      <c r="C8" s="6" t="inlineStr">
        <is>
          <t>Numerator</t>
        </is>
      </c>
      <c r="D8" s="6" t="inlineStr">
        <is>
          <t>Denominator</t>
        </is>
      </c>
      <c r="E8" s="6" t="inlineStr">
        <is>
          <t>Data source</t>
        </is>
      </c>
      <c r="F8" s="6" t="inlineStr">
        <is>
          <t>Frequency</t>
        </is>
      </c>
      <c r="G8" s="6" t="inlineStr">
        <is>
          <t>Owner</t>
        </is>
      </c>
      <c r="H8" s="6" t="inlineStr">
        <is>
          <t>Target</t>
        </is>
      </c>
      <c r="I8" s="6" t="inlineStr">
        <is>
          <t>Principal limitation</t>
        </is>
      </c>
      <c r="J8" s="6" t="inlineStr">
        <is>
          <t>Behavior the metric may unintentionally encourage</t>
        </is>
      </c>
    </row>
    <row r="9" ht="34" customHeight="1">
      <c r="A9" s="7" t="inlineStr">
        <is>
          <t>K-01</t>
        </is>
      </c>
      <c r="B9" s="8" t="inlineStr">
        <is>
          <t>Detection-to-triage timeliness</t>
        </is>
      </c>
      <c r="C9" s="8" t="inlineStr">
        <is>
          <t>Alerts triaged within 5 working days</t>
        </is>
      </c>
      <c r="D9" s="8" t="inlineStr">
        <is>
          <t>All alerts generated or received in period</t>
        </is>
      </c>
      <c r="E9" s="8" t="inlineStr">
        <is>
          <t>Signal tracker, alert intake log</t>
        </is>
      </c>
      <c r="F9" s="8" t="inlineStr">
        <is>
          <t>Monthly</t>
        </is>
      </c>
      <c r="G9" s="8" t="inlineStr">
        <is>
          <t>Signal operations lead</t>
        </is>
      </c>
      <c r="H9" s="8" t="inlineStr">
        <is>
          <t>≥ 95%</t>
        </is>
      </c>
      <c r="I9" s="8" t="inlineStr">
        <is>
          <t>Sensitive to the definition of the clock start</t>
        </is>
      </c>
      <c r="J9" s="9" t="inlineStr">
        <is>
          <t>Reclassifying alerts as non-alerts at intake</t>
        </is>
      </c>
    </row>
    <row r="10" ht="34" customHeight="1">
      <c r="A10" s="10" t="inlineStr">
        <is>
          <t>K-02</t>
        </is>
      </c>
      <c r="B10" s="11" t="inlineStr">
        <is>
          <t>Validation cycle time</t>
        </is>
      </c>
      <c r="C10" s="11" t="inlineStr">
        <is>
          <t>Sum of days from assignment to recorded validation decision (report the median)</t>
        </is>
      </c>
      <c r="D10" s="11" t="inlineStr">
        <is>
          <t>Validations completed in period</t>
        </is>
      </c>
      <c r="E10" s="11" t="inlineStr">
        <is>
          <t>Signal tracker</t>
        </is>
      </c>
      <c r="F10" s="11" t="inlineStr">
        <is>
          <t>Monthly</t>
        </is>
      </c>
      <c r="G10" s="11" t="inlineStr">
        <is>
          <t>Signal operations lead</t>
        </is>
      </c>
      <c r="H10" s="11" t="inlineStr">
        <is>
          <t>Median ≤ 30 days</t>
        </is>
      </c>
      <c r="I10" s="11" t="inlineStr">
        <is>
          <t>Median hides a long tail; report P90 beside it</t>
        </is>
      </c>
      <c r="J10" s="12" t="inlineStr">
        <is>
          <t>Validating without the clinical review that takes time</t>
        </is>
      </c>
    </row>
    <row r="11" ht="34" customHeight="1">
      <c r="A11" s="7" t="inlineStr">
        <is>
          <t>K-03</t>
        </is>
      </c>
      <c r="B11" s="8" t="inlineStr">
        <is>
          <t>Assessment cycle time</t>
        </is>
      </c>
      <c r="C11" s="8" t="inlineStr">
        <is>
          <t>Sum of days from entry to assessment until report ready for committee (report the median)</t>
        </is>
      </c>
      <c r="D11" s="8" t="inlineStr">
        <is>
          <t>Assessments completed in period</t>
        </is>
      </c>
      <c r="E11" s="8" t="inlineStr">
        <is>
          <t>Signal tracker</t>
        </is>
      </c>
      <c r="F11" s="8" t="inlineStr">
        <is>
          <t>Monthly</t>
        </is>
      </c>
      <c r="G11" s="8" t="inlineStr">
        <is>
          <t>Product safety lead</t>
        </is>
      </c>
      <c r="H11" s="8" t="inlineStr">
        <is>
          <t>Median ≤ 90 days; ≤ 45 high priority</t>
        </is>
      </c>
      <c r="I11" s="8" t="inlineStr">
        <is>
          <t>A shorter median may mean less evidence gathered</t>
        </is>
      </c>
      <c r="J11" s="9" t="inlineStr">
        <is>
          <t>Dropping optional analyses that were not optional</t>
        </is>
      </c>
    </row>
    <row r="12" ht="34" customHeight="1">
      <c r="A12" s="10" t="inlineStr">
        <is>
          <t>K-04</t>
        </is>
      </c>
      <c r="B12" s="11" t="inlineStr">
        <is>
          <t>Regulatory notification timeliness</t>
        </is>
      </c>
      <c r="C12" s="11" t="inlineStr">
        <is>
          <t>Notifications submitted within the applicable regional requirement</t>
        </is>
      </c>
      <c r="D12" s="11" t="inlineStr">
        <is>
          <t>Decisions requiring notification in period</t>
        </is>
      </c>
      <c r="E12" s="11" t="inlineStr">
        <is>
          <t>Regulatory tracking system</t>
        </is>
      </c>
      <c r="F12" s="11" t="inlineStr">
        <is>
          <t>Monthly</t>
        </is>
      </c>
      <c r="G12" s="11" t="inlineStr">
        <is>
          <t>Regulatory affairs lead</t>
        </is>
      </c>
      <c r="H12" s="11" t="inlineStr">
        <is>
          <t>100%</t>
        </is>
      </c>
      <c r="I12" s="11" t="inlineStr">
        <is>
          <t>Counts submission, not adequacy of content</t>
        </is>
      </c>
      <c r="J12" s="12" t="inlineStr">
        <is>
          <t>Notifying thinly to stop a clock</t>
        </is>
      </c>
    </row>
    <row r="13" ht="34" customHeight="1">
      <c r="A13" s="7" t="inlineStr">
        <is>
          <t>K-05</t>
        </is>
      </c>
      <c r="B13" s="8" t="inlineStr">
        <is>
          <t>Action completion by due date</t>
        </is>
      </c>
      <c r="C13" s="8" t="inlineStr">
        <is>
          <t>Actions evidenced complete on or before due date</t>
        </is>
      </c>
      <c r="D13" s="8" t="inlineStr">
        <is>
          <t>Actions due in period</t>
        </is>
      </c>
      <c r="E13" s="8" t="inlineStr">
        <is>
          <t>Action log</t>
        </is>
      </c>
      <c r="F13" s="8" t="inlineStr">
        <is>
          <t>Monthly</t>
        </is>
      </c>
      <c r="G13" s="8" t="inlineStr">
        <is>
          <t>Action owners; consolidated by QPPV office</t>
        </is>
      </c>
      <c r="H13" s="8" t="inlineStr">
        <is>
          <t>≥ 95%</t>
        </is>
      </c>
      <c r="I13" s="8" t="inlineStr">
        <is>
          <t>Completion is evidenced, not effectiveness</t>
        </is>
      </c>
      <c r="J13" s="9" t="inlineStr">
        <is>
          <t>Setting distant due dates, or closing actions on partial evidence</t>
        </is>
      </c>
    </row>
    <row r="14" ht="34" customHeight="1">
      <c r="A14" s="10" t="inlineStr">
        <is>
          <t>K-06</t>
        </is>
      </c>
      <c r="B14" s="11" t="inlineStr">
        <is>
          <t>Overdue high-priority signals</t>
        </is>
      </c>
      <c r="C14" s="11" t="inlineStr">
        <is>
          <t>High-priority signals past a stage due date at period end</t>
        </is>
      </c>
      <c r="D14" s="11" t="inlineStr">
        <is>
          <t>Open high-priority signals at period end</t>
        </is>
      </c>
      <c r="E14" s="11" t="inlineStr">
        <is>
          <t>Signal tracker</t>
        </is>
      </c>
      <c r="F14" s="11" t="inlineStr">
        <is>
          <t>Monthly</t>
        </is>
      </c>
      <c r="G14" s="11" t="inlineStr">
        <is>
          <t>Product safety lead</t>
        </is>
      </c>
      <c r="H14" s="11" t="inlineStr">
        <is>
          <t>≤ 2 (count)</t>
        </is>
      </c>
      <c r="I14" s="11" t="inlineStr">
        <is>
          <t>Depends on prioritization being applied consistently</t>
        </is>
      </c>
      <c r="J14" s="12" t="inlineStr">
        <is>
          <t>Assigning medium priority to avoid the high-priority clock</t>
        </is>
      </c>
    </row>
    <row r="15" ht="34" customHeight="1">
      <c r="A15" s="7" t="inlineStr">
        <is>
          <t>K-07</t>
        </is>
      </c>
      <c r="B15" s="8" t="inlineStr">
        <is>
          <t>Source-screening compliance</t>
        </is>
      </c>
      <c r="C15" s="8" t="inlineStr">
        <is>
          <t>Scheduled screening runs completed on schedule with evidence</t>
        </is>
      </c>
      <c r="D15" s="8" t="inlineStr">
        <is>
          <t>Scheduled screening runs in period</t>
        </is>
      </c>
      <c r="E15" s="8" t="inlineStr">
        <is>
          <t>Screening log, literature system</t>
        </is>
      </c>
      <c r="F15" s="8" t="inlineStr">
        <is>
          <t>Monthly</t>
        </is>
      </c>
      <c r="G15" s="8" t="inlineStr">
        <is>
          <t>Literature and data operations lead</t>
        </is>
      </c>
      <c r="H15" s="8" t="inlineStr">
        <is>
          <t>100%</t>
        </is>
      </c>
      <c r="I15" s="8" t="inlineStr">
        <is>
          <t>Measures that screening ran, not that it was adequate</t>
        </is>
      </c>
      <c r="J15" s="9" t="inlineStr">
        <is>
          <t>Running the screen and deferring the review of its output</t>
        </is>
      </c>
    </row>
    <row r="16" ht="34" customHeight="1">
      <c r="A16" s="10" t="inlineStr">
        <is>
          <t>K-08</t>
        </is>
      </c>
      <c r="B16" s="11" t="inlineStr">
        <is>
          <t>Assessment-defect reopening rate</t>
        </is>
      </c>
      <c r="C16" s="11" t="inlineStr">
        <is>
          <t>Reopenings classified R2 or R3</t>
        </is>
      </c>
      <c r="D16" s="11" t="inlineStr">
        <is>
          <t>Signals closed in the preceding 12 months</t>
        </is>
      </c>
      <c r="E16" s="11" t="inlineStr">
        <is>
          <t>Signal tracker, reopening classification form</t>
        </is>
      </c>
      <c r="F16" s="11" t="inlineStr">
        <is>
          <t>Quarterly, rolling 12 months</t>
        </is>
      </c>
      <c r="G16" s="11" t="inlineStr">
        <is>
          <t>Quality lead</t>
        </is>
      </c>
      <c r="H16" s="11" t="inlineStr">
        <is>
          <t>≤ 5%</t>
        </is>
      </c>
      <c r="I16" s="11" t="inlineStr">
        <is>
          <t>Lagging indicator; small denominator; needs classification</t>
        </is>
      </c>
      <c r="J16" s="12" t="inlineStr">
        <is>
          <t>Resisting reopening, or writing vague closure triggers</t>
        </is>
      </c>
    </row>
    <row r="17" ht="34" customHeight="1">
      <c r="A17" s="7" t="inlineStr">
        <is>
          <t>K-09</t>
        </is>
      </c>
      <c r="B17" s="8" t="inlineStr">
        <is>
          <t>Documentation defect rate</t>
        </is>
      </c>
      <c r="C17" s="8" t="inlineStr">
        <is>
          <t>Closed signal files with at least one defect at closure QC</t>
        </is>
      </c>
      <c r="D17" s="8" t="inlineStr">
        <is>
          <t>Closed signal files reviewed at QC in period</t>
        </is>
      </c>
      <c r="E17" s="8" t="inlineStr">
        <is>
          <t>Quality control log</t>
        </is>
      </c>
      <c r="F17" s="8" t="inlineStr">
        <is>
          <t>Quarterly</t>
        </is>
      </c>
      <c r="G17" s="8" t="inlineStr">
        <is>
          <t>Quality lead</t>
        </is>
      </c>
      <c r="H17" s="8" t="inlineStr">
        <is>
          <t>≤ 10%</t>
        </is>
      </c>
      <c r="I17" s="8" t="inlineStr">
        <is>
          <t>Depends on consistent QC application across reviewers</t>
        </is>
      </c>
      <c r="J17" s="9" t="inlineStr">
        <is>
          <t>Softening QC criteria; keep the criteria under change control</t>
        </is>
      </c>
    </row>
    <row r="18" ht="34" customHeight="1">
      <c r="A18" s="10" t="inlineStr">
        <is>
          <t>K-10</t>
        </is>
      </c>
      <c r="B18" s="11" t="inlineStr">
        <is>
          <t>Risk-minimization effectiveness</t>
        </is>
      </c>
      <c r="C18" s="11" t="inlineStr">
        <is>
          <t>Event or error reports attributable to the targeted risk</t>
        </is>
      </c>
      <c r="D18" s="11" t="inlineStr">
        <is>
          <t>Exposure unit the action was designed to affect</t>
        </is>
      </c>
      <c r="E18" s="11" t="inlineStr">
        <is>
          <t>Safety database, dispensing or exposure data</t>
        </is>
      </c>
      <c r="F18" s="11" t="inlineStr">
        <is>
          <t>Per action, defined at action approval; reviewed annually</t>
        </is>
      </c>
      <c r="G18" s="11" t="inlineStr">
        <is>
          <t>Action owner</t>
        </is>
      </c>
      <c r="H18" s="11" t="inlineStr">
        <is>
          <t>Set per action at approval</t>
        </is>
      </c>
      <c r="I18" s="11" t="inlineStr">
        <is>
          <t>Reporting rate is not incidence; communication stimulates reporting</t>
        </is>
      </c>
      <c r="J18" s="12" t="inlineStr">
        <is>
          <t>Choosing a flattering denominator after seeing the data</t>
        </is>
      </c>
    </row>
    <row r="19">
      <c r="A19" s="13" t="inlineStr"/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</row>
    <row r="20">
      <c r="A20" s="13" t="inlineStr"/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</row>
    <row r="21">
      <c r="A21" s="13" t="inlineStr"/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</row>
    <row r="22">
      <c r="A22" s="13" t="inlineStr"/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</row>
    <row r="23">
      <c r="A23" s="5" t="inlineStr">
        <is>
          <t>Blank rows are for indicators your portfolio needs and this list does not carry. The last column is the field most dictionaries omit and the one that tells a governance body what to watch for when a panel improves.</t>
        </is>
      </c>
    </row>
    <row r="25">
      <c r="A25" s="3" t="inlineStr">
        <is>
          <t>This template is educational. It does not replace applicable law, current regulatory guidance, medical judgment, or company procedures. Adapt it to your own procedures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6" customWidth="1" min="3" max="3"/>
    <col width="16" customWidth="1" min="4" max="4"/>
    <col width="14" customWidth="1" min="5" max="5"/>
    <col width="14" customWidth="1" min="6" max="6"/>
    <col width="16" customWidth="1" min="7" max="7"/>
    <col width="46" customWidth="1" min="8" max="8"/>
  </cols>
  <sheetData>
    <row r="1">
      <c r="A1" s="1" t="inlineStr">
        <is>
          <t>T-20 — Period calculation — enter numerator and denominator, the value and status compute</t>
        </is>
      </c>
    </row>
    <row r="2">
      <c r="A2" s="2" t="inlineStr">
        <is>
          <t>Signal Management in Pharmacovigilance</t>
        </is>
      </c>
    </row>
    <row r="3">
      <c r="A3" s="3" t="inlineStr">
        <is>
          <t>Dr. Hafez Selim, MD, PhD  ·  Selim Medical Press</t>
        </is>
      </c>
    </row>
    <row r="4">
      <c r="A4" s="4" t="inlineStr">
        <is>
          <t>When to use: One row per indicator per reporting period. Amber cells are inputs.</t>
        </is>
      </c>
    </row>
    <row r="6">
      <c r="A6" s="5" t="inlineStr">
        <is>
          <t>Reporting period: ______________________   Prepared by: ______________________   Date: ______________</t>
        </is>
      </c>
    </row>
    <row r="8">
      <c r="A8" s="6" t="inlineStr">
        <is>
          <t>ID</t>
        </is>
      </c>
      <c r="B8" s="6" t="inlineStr">
        <is>
          <t>Indicator</t>
        </is>
      </c>
      <c r="C8" s="6" t="inlineStr">
        <is>
          <t>Numerator (count)</t>
        </is>
      </c>
      <c r="D8" s="6" t="inlineStr">
        <is>
          <t>Denominator (count)</t>
        </is>
      </c>
      <c r="E8" s="6" t="inlineStr">
        <is>
          <t>Value</t>
        </is>
      </c>
      <c r="F8" s="6" t="inlineStr">
        <is>
          <t>Target</t>
        </is>
      </c>
      <c r="G8" s="6" t="inlineStr">
        <is>
          <t>Status</t>
        </is>
      </c>
      <c r="H8" s="6" t="inlineStr">
        <is>
          <t>Narrative required where status is Below target</t>
        </is>
      </c>
    </row>
    <row r="9">
      <c r="A9" s="7" t="inlineStr">
        <is>
          <t>K-01</t>
        </is>
      </c>
      <c r="B9" s="8" t="inlineStr">
        <is>
          <t>Detection-to-triage timeliness</t>
        </is>
      </c>
      <c r="C9" s="14" t="n"/>
      <c r="D9" s="14" t="n"/>
      <c r="E9" s="15">
        <f>IF(OR(C9="",D9="",D9=0),"",C9/D9)</f>
        <v/>
      </c>
      <c r="F9" s="16" t="n">
        <v>0.95</v>
      </c>
      <c r="G9" s="17">
        <f>IF(E9="","",IF(E9&gt;=F9,"At or above target","Below target"))</f>
        <v/>
      </c>
      <c r="H9" s="13" t="inlineStr"/>
    </row>
    <row r="10">
      <c r="A10" s="10" t="inlineStr">
        <is>
          <t>K-02</t>
        </is>
      </c>
      <c r="B10" s="11" t="inlineStr">
        <is>
          <t>Validation cycle time</t>
        </is>
      </c>
      <c r="C10" s="14" t="n"/>
      <c r="D10" s="14" t="n"/>
      <c r="E10" s="18">
        <f>IF(OR(C10="",D10="",D10=0),"",C10/D10)</f>
        <v/>
      </c>
      <c r="F10" s="19" t="n">
        <v>30</v>
      </c>
      <c r="G10" s="17">
        <f>IF(E10="","",IF(E10&lt;=F10,"At or within target","Above target"))</f>
        <v/>
      </c>
      <c r="H10" s="13" t="inlineStr"/>
    </row>
    <row r="11">
      <c r="A11" s="7" t="inlineStr">
        <is>
          <t>K-03</t>
        </is>
      </c>
      <c r="B11" s="8" t="inlineStr">
        <is>
          <t>Assessment cycle time</t>
        </is>
      </c>
      <c r="C11" s="14" t="n"/>
      <c r="D11" s="14" t="n"/>
      <c r="E11" s="18">
        <f>IF(OR(C11="",D11="",D11=0),"",C11/D11)</f>
        <v/>
      </c>
      <c r="F11" s="20" t="n">
        <v>90</v>
      </c>
      <c r="G11" s="17">
        <f>IF(E11="","",IF(E11&lt;=F11,"At or within target","Above target"))</f>
        <v/>
      </c>
      <c r="H11" s="13" t="inlineStr"/>
    </row>
    <row r="12">
      <c r="A12" s="10" t="inlineStr">
        <is>
          <t>K-04</t>
        </is>
      </c>
      <c r="B12" s="11" t="inlineStr">
        <is>
          <t>Regulatory notification timeliness</t>
        </is>
      </c>
      <c r="C12" s="14" t="n"/>
      <c r="D12" s="14" t="n"/>
      <c r="E12" s="15">
        <f>IF(OR(C12="",D12="",D12=0),"",C12/D12)</f>
        <v/>
      </c>
      <c r="F12" s="21" t="n">
        <v>1</v>
      </c>
      <c r="G12" s="17">
        <f>IF(E12="","",IF(E12&gt;=F12,"At or above target","Below target"))</f>
        <v/>
      </c>
      <c r="H12" s="13" t="inlineStr"/>
    </row>
    <row r="13">
      <c r="A13" s="7" t="inlineStr">
        <is>
          <t>K-05</t>
        </is>
      </c>
      <c r="B13" s="8" t="inlineStr">
        <is>
          <t>Action completion by due date</t>
        </is>
      </c>
      <c r="C13" s="14" t="n"/>
      <c r="D13" s="14" t="n"/>
      <c r="E13" s="15">
        <f>IF(OR(C13="",D13="",D13=0),"",C13/D13)</f>
        <v/>
      </c>
      <c r="F13" s="16" t="n">
        <v>0.95</v>
      </c>
      <c r="G13" s="17">
        <f>IF(E13="","",IF(E13&gt;=F13,"At or above target","Below target"))</f>
        <v/>
      </c>
      <c r="H13" s="13" t="inlineStr"/>
    </row>
    <row r="14">
      <c r="A14" s="10" t="inlineStr">
        <is>
          <t>K-06</t>
        </is>
      </c>
      <c r="B14" s="11" t="inlineStr">
        <is>
          <t>Overdue high-priority signals</t>
        </is>
      </c>
      <c r="C14" s="14" t="n"/>
      <c r="D14" s="14" t="n"/>
      <c r="E14" s="22">
        <f>IF(C14="","",C14)</f>
        <v/>
      </c>
      <c r="F14" s="19" t="n">
        <v>2</v>
      </c>
      <c r="G14" s="17">
        <f>IF(E14="","",IF(E14&lt;=F14,"At or within target","Above target"))</f>
        <v/>
      </c>
      <c r="H14" s="13" t="inlineStr"/>
    </row>
    <row r="15">
      <c r="A15" s="7" t="inlineStr">
        <is>
          <t>K-07</t>
        </is>
      </c>
      <c r="B15" s="8" t="inlineStr">
        <is>
          <t>Source-screening compliance</t>
        </is>
      </c>
      <c r="C15" s="14" t="n"/>
      <c r="D15" s="14" t="n"/>
      <c r="E15" s="15">
        <f>IF(OR(C15="",D15="",D15=0),"",C15/D15)</f>
        <v/>
      </c>
      <c r="F15" s="16" t="n">
        <v>1</v>
      </c>
      <c r="G15" s="17">
        <f>IF(E15="","",IF(E15&gt;=F15,"At or above target","Below target"))</f>
        <v/>
      </c>
      <c r="H15" s="13" t="inlineStr"/>
    </row>
    <row r="16">
      <c r="A16" s="10" t="inlineStr">
        <is>
          <t>K-08</t>
        </is>
      </c>
      <c r="B16" s="11" t="inlineStr">
        <is>
          <t>Assessment-defect reopening rate</t>
        </is>
      </c>
      <c r="C16" s="14" t="n"/>
      <c r="D16" s="14" t="n"/>
      <c r="E16" s="15">
        <f>IF(OR(C16="",D16="",D16=0),"",C16/D16)</f>
        <v/>
      </c>
      <c r="F16" s="21" t="n">
        <v>0.05</v>
      </c>
      <c r="G16" s="17">
        <f>IF(E16="","",IF(E16&lt;=F16,"At or within target","Above target"))</f>
        <v/>
      </c>
      <c r="H16" s="13" t="inlineStr"/>
    </row>
    <row r="17">
      <c r="A17" s="7" t="inlineStr">
        <is>
          <t>K-09</t>
        </is>
      </c>
      <c r="B17" s="8" t="inlineStr">
        <is>
          <t>Documentation defect rate</t>
        </is>
      </c>
      <c r="C17" s="14" t="n"/>
      <c r="D17" s="14" t="n"/>
      <c r="E17" s="15">
        <f>IF(OR(C17="",D17="",D17=0),"",C17/D17)</f>
        <v/>
      </c>
      <c r="F17" s="16" t="n">
        <v>0.1</v>
      </c>
      <c r="G17" s="17">
        <f>IF(E17="","",IF(E17&lt;=F17,"At or within target","Above target"))</f>
        <v/>
      </c>
      <c r="H17" s="13" t="inlineStr"/>
    </row>
    <row r="18">
      <c r="A18" s="10" t="inlineStr">
        <is>
          <t>K-10</t>
        </is>
      </c>
      <c r="B18" s="11" t="inlineStr">
        <is>
          <t>Risk-minimization effectiveness</t>
        </is>
      </c>
      <c r="C18" s="14" t="n"/>
      <c r="D18" s="14" t="n"/>
      <c r="E18" s="23">
        <f>IF(OR(C18="",D18="",D18=0),"",C18/D18)</f>
        <v/>
      </c>
      <c r="F18" s="19" t="n"/>
      <c r="G18" s="17">
        <f>"Set per action at approval"</f>
        <v/>
      </c>
      <c r="H18" s="13" t="inlineStr"/>
    </row>
    <row r="19">
      <c r="A19" s="5" t="inlineStr">
        <is>
          <t>K-02 and K-03 take the sum of days as the numerator and the number of completed items as the denominator, which yields the mean. Report the median and P90 alongside it: a median improving while P90 worsens is the pattern this dictionary exists to expose.</t>
        </is>
      </c>
    </row>
    <row r="20">
      <c r="A20" s="5" t="inlineStr">
        <is>
          <t>K-06 is a count at period end, so only the numerator is used. K-10 has no standing target; the target is fixed per action at approval.</t>
        </is>
      </c>
    </row>
    <row r="22">
      <c r="A22" s="3" t="inlineStr">
        <is>
          <t>This template is educational. It does not replace applicable law, current regulatory guidance, medical judgment, or company procedures. Adapt it to your own procedures before use.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30" customWidth="1" min="3" max="3"/>
    <col width="30" customWidth="1" min="4" max="4"/>
    <col width="30" customWidth="1" min="5" max="5"/>
    <col width="22" customWidth="1" min="6" max="6"/>
    <col width="26" customWidth="1" min="7" max="7"/>
    <col width="40" customWidth="1" min="8" max="8"/>
  </cols>
  <sheetData>
    <row r="1">
      <c r="A1" s="1" t="inlineStr">
        <is>
          <t>T-20 — Dashboard specification</t>
        </is>
      </c>
    </row>
    <row r="2">
      <c r="A2" s="2" t="inlineStr">
        <is>
          <t>Signal Management in Pharmacovigilance</t>
        </is>
      </c>
    </row>
    <row r="3">
      <c r="A3" s="3" t="inlineStr">
        <is>
          <t>Dr. Hafez Selim, MD, PhD  ·  Selim Medical Press</t>
        </is>
      </c>
    </row>
    <row r="4">
      <c r="A4" s="4" t="inlineStr">
        <is>
          <t>When to use: Every panel carries its indicator identifier, so a number on a slide can always be traced to the definition that produced it.</t>
        </is>
      </c>
    </row>
    <row r="7">
      <c r="A7" s="6" t="inlineStr">
        <is>
          <t>Panel</t>
        </is>
      </c>
      <c r="B7" s="6" t="inlineStr">
        <is>
          <t>KPI ID</t>
        </is>
      </c>
      <c r="C7" s="6" t="inlineStr">
        <is>
          <t>What the panel shows</t>
        </is>
      </c>
      <c r="D7" s="6" t="inlineStr">
        <is>
          <t>Required breakdowns</t>
        </is>
      </c>
      <c r="E7" s="6" t="inlineStr">
        <is>
          <t>Required companion display</t>
        </is>
      </c>
      <c r="F7" s="6" t="inlineStr">
        <is>
          <t>Refresh</t>
        </is>
      </c>
      <c r="G7" s="6" t="inlineStr">
        <is>
          <t>Audience</t>
        </is>
      </c>
      <c r="H7" s="6" t="inlineStr">
        <is>
          <t>Annotation rule</t>
        </is>
      </c>
    </row>
    <row r="8" ht="30" customHeight="1">
      <c r="A8" s="7" t="inlineStr">
        <is>
          <t>P-1</t>
        </is>
      </c>
      <c r="B8" s="8" t="inlineStr">
        <is>
          <t>K-01</t>
        </is>
      </c>
      <c r="C8" s="8" t="inlineStr">
        <is>
          <t>Percentage of alerts triaged within 5 working days, 13-month trend</t>
        </is>
      </c>
      <c r="D8" s="8" t="inlineStr">
        <is>
          <t>By source; by product tier</t>
        </is>
      </c>
      <c r="E8" s="8" t="inlineStr">
        <is>
          <t>Count of alerts in the denominator, on the same panel</t>
        </is>
      </c>
      <c r="F8" s="8" t="inlineStr">
        <is>
          <t>Monthly</t>
        </is>
      </c>
      <c r="G8" s="8" t="inlineStr">
        <is>
          <t>Signal operations; committee</t>
        </is>
      </c>
      <c r="H8" s="9" t="inlineStr">
        <is>
          <t>Annotate any month where the intake definition changed</t>
        </is>
      </c>
    </row>
    <row r="9" ht="30" customHeight="1">
      <c r="A9" s="10" t="inlineStr">
        <is>
          <t>P-2</t>
        </is>
      </c>
      <c r="B9" s="11" t="inlineStr">
        <is>
          <t>K-02, K-03</t>
        </is>
      </c>
      <c r="C9" s="11" t="inlineStr">
        <is>
          <t>Median cycle time, validation and assessment</t>
        </is>
      </c>
      <c r="D9" s="11" t="inlineStr">
        <is>
          <t>By priority band</t>
        </is>
      </c>
      <c r="E9" s="11" t="inlineStr">
        <is>
          <t>P90 plotted beside the median; n per point</t>
        </is>
      </c>
      <c r="F9" s="11" t="inlineStr">
        <is>
          <t>Monthly</t>
        </is>
      </c>
      <c r="G9" s="11" t="inlineStr">
        <is>
          <t>Committee; QPPV office</t>
        </is>
      </c>
      <c r="H9" s="12" t="inlineStr">
        <is>
          <t>Annotate resource changes and procedure revisions</t>
        </is>
      </c>
    </row>
    <row r="10" ht="30" customHeight="1">
      <c r="A10" s="7" t="inlineStr">
        <is>
          <t>P-3</t>
        </is>
      </c>
      <c r="B10" s="8" t="inlineStr">
        <is>
          <t>K-04</t>
        </is>
      </c>
      <c r="C10" s="8" t="inlineStr">
        <is>
          <t>Notification timeliness</t>
        </is>
      </c>
      <c r="D10" s="8" t="inlineStr">
        <is>
          <t>By region and obligation type</t>
        </is>
      </c>
      <c r="E10" s="8" t="inlineStr">
        <is>
          <t>The obligation each notification was made under</t>
        </is>
      </c>
      <c r="F10" s="8" t="inlineStr">
        <is>
          <t>Monthly</t>
        </is>
      </c>
      <c r="G10" s="8" t="inlineStr">
        <is>
          <t>Regulatory affairs; QPPV office</t>
        </is>
      </c>
      <c r="H10" s="9" t="inlineStr">
        <is>
          <t>Statutory clocks are shown as clocks, never as company targets</t>
        </is>
      </c>
    </row>
    <row r="11" ht="30" customHeight="1">
      <c r="A11" s="10" t="inlineStr">
        <is>
          <t>P-4</t>
        </is>
      </c>
      <c r="B11" s="11" t="inlineStr">
        <is>
          <t>K-05, K-06</t>
        </is>
      </c>
      <c r="C11" s="11" t="inlineStr">
        <is>
          <t>Action completion and overdue high-priority signals</t>
        </is>
      </c>
      <c r="D11" s="11" t="inlineStr">
        <is>
          <t>By owner function</t>
        </is>
      </c>
      <c r="E11" s="11" t="inlineStr">
        <is>
          <t>List of the overdue items, not only the count</t>
        </is>
      </c>
      <c r="F11" s="11" t="inlineStr">
        <is>
          <t>Monthly</t>
        </is>
      </c>
      <c r="G11" s="11" t="inlineStr">
        <is>
          <t>Committee</t>
        </is>
      </c>
      <c r="H11" s="12" t="inlineStr">
        <is>
          <t>Annotate every re-dated action with its reason</t>
        </is>
      </c>
    </row>
    <row r="12" ht="30" customHeight="1">
      <c r="A12" s="7" t="inlineStr">
        <is>
          <t>P-5</t>
        </is>
      </c>
      <c r="B12" s="8" t="inlineStr">
        <is>
          <t>K-07</t>
        </is>
      </c>
      <c r="C12" s="8" t="inlineStr">
        <is>
          <t>Source-screening compliance</t>
        </is>
      </c>
      <c r="D12" s="8" t="inlineStr">
        <is>
          <t>By source</t>
        </is>
      </c>
      <c r="E12" s="8" t="inlineStr">
        <is>
          <t>Evidence reference per scheduled run</t>
        </is>
      </c>
      <c r="F12" s="8" t="inlineStr">
        <is>
          <t>Monthly</t>
        </is>
      </c>
      <c r="G12" s="8" t="inlineStr">
        <is>
          <t>Data operations; quality</t>
        </is>
      </c>
      <c r="H12" s="9" t="inlineStr">
        <is>
          <t>Distinguish 'ran' from 'reviewed'</t>
        </is>
      </c>
    </row>
    <row r="13" ht="30" customHeight="1">
      <c r="A13" s="10" t="inlineStr">
        <is>
          <t>P-6</t>
        </is>
      </c>
      <c r="B13" s="11" t="inlineStr">
        <is>
          <t>K-08, K-09</t>
        </is>
      </c>
      <c r="C13" s="11" t="inlineStr">
        <is>
          <t>Reopening and documentation defect rates</t>
        </is>
      </c>
      <c r="D13" s="11" t="inlineStr">
        <is>
          <t>By defect class</t>
        </is>
      </c>
      <c r="E13" s="11" t="inlineStr">
        <is>
          <t>Denominator size; confidence in a small denominator</t>
        </is>
      </c>
      <c r="F13" s="11" t="inlineStr">
        <is>
          <t>Quarterly</t>
        </is>
      </c>
      <c r="G13" s="11" t="inlineStr">
        <is>
          <t>Quality; governance body</t>
        </is>
      </c>
      <c r="H13" s="12" t="inlineStr">
        <is>
          <t>A quarter with a denominator below 10 is labelled as such</t>
        </is>
      </c>
    </row>
    <row r="14" ht="30" customHeight="1">
      <c r="A14" s="7" t="inlineStr">
        <is>
          <t>P-7</t>
        </is>
      </c>
      <c r="B14" s="8" t="inlineStr">
        <is>
          <t>K-10</t>
        </is>
      </c>
      <c r="C14" s="8" t="inlineStr">
        <is>
          <t>Risk-minimization effectiveness per action</t>
        </is>
      </c>
      <c r="D14" s="8" t="inlineStr">
        <is>
          <t>Per action</t>
        </is>
      </c>
      <c r="E14" s="8" t="inlineStr">
        <is>
          <t>The exposure denominator and its source</t>
        </is>
      </c>
      <c r="F14" s="8" t="inlineStr">
        <is>
          <t>Per action</t>
        </is>
      </c>
      <c r="G14" s="8" t="inlineStr">
        <is>
          <t>Committee; risk management</t>
        </is>
      </c>
      <c r="H14" s="9" t="inlineStr">
        <is>
          <t>State the denominator chosen before the data were seen</t>
        </is>
      </c>
    </row>
    <row r="16">
      <c r="A16" s="24" t="inlineStr">
        <is>
          <t>Standing rules for the dashboard</t>
        </is>
      </c>
    </row>
    <row r="17">
      <c r="A17" s="8" t="inlineStr"/>
      <c r="B17" s="8" t="inlineStr"/>
      <c r="C17" s="8" t="inlineStr">
        <is>
          <t>Every panel displays its KPI identifier and the definition version in force for the period shown.</t>
        </is>
      </c>
      <c r="D17" s="8" t="inlineStr"/>
      <c r="E17" s="8" t="inlineStr"/>
      <c r="F17" s="8" t="inlineStr"/>
      <c r="G17" s="8" t="inlineStr"/>
      <c r="H17" s="8" t="inlineStr"/>
    </row>
    <row r="18">
      <c r="A18" s="8" t="inlineStr"/>
      <c r="B18" s="8" t="inlineStr"/>
      <c r="C18" s="8" t="inlineStr">
        <is>
          <t>A rate is never displayed without its denominator on the same panel.</t>
        </is>
      </c>
      <c r="D18" s="8" t="inlineStr"/>
      <c r="E18" s="8" t="inlineStr"/>
      <c r="F18" s="8" t="inlineStr"/>
      <c r="G18" s="8" t="inlineStr"/>
      <c r="H18" s="8" t="inlineStr"/>
    </row>
    <row r="19">
      <c r="A19" s="8" t="inlineStr"/>
      <c r="B19" s="8" t="inlineStr"/>
      <c r="C19" s="8" t="inlineStr">
        <is>
          <t>A metric that improves is read alongside the behavior column of the dictionary before it is reported as progress.</t>
        </is>
      </c>
      <c r="D19" s="8" t="inlineStr"/>
      <c r="E19" s="8" t="inlineStr"/>
      <c r="F19" s="8" t="inlineStr"/>
      <c r="G19" s="8" t="inlineStr"/>
      <c r="H19" s="8" t="inlineStr"/>
    </row>
    <row r="20">
      <c r="A20" s="8" t="inlineStr"/>
      <c r="B20" s="8" t="inlineStr"/>
      <c r="C20" s="8" t="inlineStr">
        <is>
          <t>Statutory obligations are displayed as obligations, never as company performance targets.</t>
        </is>
      </c>
      <c r="D20" s="8" t="inlineStr"/>
      <c r="E20" s="8" t="inlineStr"/>
      <c r="F20" s="8" t="inlineStr"/>
      <c r="G20" s="8" t="inlineStr"/>
      <c r="H20" s="8" t="inlineStr"/>
    </row>
    <row r="21">
      <c r="A21" s="8" t="inlineStr"/>
      <c r="B21" s="8" t="inlineStr"/>
      <c r="C21" s="8" t="inlineStr">
        <is>
          <t>Where a definition changed mid-series, the series is broken at that point rather than restated.</t>
        </is>
      </c>
      <c r="D21" s="8" t="inlineStr"/>
      <c r="E21" s="8" t="inlineStr"/>
      <c r="F21" s="8" t="inlineStr"/>
      <c r="G21" s="8" t="inlineStr"/>
      <c r="H21" s="8" t="inlineStr"/>
    </row>
    <row r="23">
      <c r="A23" s="24" t="inlineStr">
        <is>
          <t>Definition change-control log</t>
        </is>
      </c>
    </row>
    <row r="24">
      <c r="A24" s="6" t="inlineStr">
        <is>
          <t>Entry</t>
        </is>
      </c>
      <c r="B24" s="6" t="inlineStr">
        <is>
          <t>KPI ID</t>
        </is>
      </c>
      <c r="C24" s="6" t="inlineStr">
        <is>
          <t>Field changed</t>
        </is>
      </c>
      <c r="D24" s="6" t="inlineStr">
        <is>
          <t>Previous definition</t>
        </is>
      </c>
      <c r="E24" s="6" t="inlineStr">
        <is>
          <t>New definition</t>
        </is>
      </c>
      <c r="F24" s="6" t="inlineStr">
        <is>
          <t>Effective period</t>
        </is>
      </c>
      <c r="G24" s="6" t="inlineStr">
        <is>
          <t>Approved by / date</t>
        </is>
      </c>
      <c r="H24" s="6" t="inlineStr">
        <is>
          <t>Reason</t>
        </is>
      </c>
    </row>
    <row r="25">
      <c r="A25" s="13" t="inlineStr"/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</row>
    <row r="26">
      <c r="A26" s="13" t="inlineStr"/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</row>
    <row r="27">
      <c r="A27" s="13" t="inlineStr"/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</row>
    <row r="28">
      <c r="A28" s="13" t="inlineStr"/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</row>
    <row r="29">
      <c r="A29" s="13" t="inlineStr"/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</row>
    <row r="30">
      <c r="A30" s="13" t="inlineStr"/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</row>
    <row r="32">
      <c r="A32" s="3" t="inlineStr">
        <is>
          <t>This template is educational. It does not replace applicable law, current regulatory guidance, medical judgment, or company procedures. Adapt it to your own procedures before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2026-09-14T16:57:06Z</dcterms:created>
  <dcterms:modified xmlns:dcterms="http://purl.org/dc/terms/" xmlns:xsi="http://www.w3.org/2001/XMLSchema-instance" xsi:type="dcterms:W3CDTF">2026-09-14T16:57:06Z</dcterms:modified>
</cp:coreProperties>
</file>