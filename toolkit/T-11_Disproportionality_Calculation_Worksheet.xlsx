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  <sheet xmlns:r="http://schemas.openxmlformats.org/officeDocument/2006/relationships" name="Interpretation prompts" sheetId="2" state="visible" r:id="rId2"/>
    <sheet xmlns:r="http://schemas.openxmlformats.org/officeDocument/2006/relationships" name="What each measure me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8">
    <font>
      <name val="Calibri"/>
      <family val="2"/>
      <color theme="1"/>
      <sz val="11"/>
      <scheme val="minor"/>
    </font>
    <font>
      <name val="Caladea"/>
      <b val="1"/>
      <color rgb="FF1F5661"/>
      <sz val="16"/>
    </font>
    <font>
      <name val="Carlito"/>
      <b val="1"/>
      <color rgb="FF1E2A32"/>
      <sz val="10"/>
    </font>
    <font>
      <name val="Carlito"/>
      <i val="1"/>
      <color rgb="FF4A5B63"/>
      <sz val="9"/>
    </font>
    <font>
      <name val="Carlito"/>
      <color rgb="FF1E2A32"/>
      <sz val="10"/>
    </font>
    <font>
      <name val="Caladea"/>
      <b val="1"/>
      <color rgb="FF1F5661"/>
      <sz val="11.5"/>
    </font>
    <font>
      <name val="Carlito"/>
      <b val="1"/>
      <color rgb="00FFFFFF"/>
      <sz val="10"/>
    </font>
    <font>
      <name val="Carlito"/>
      <b val="1"/>
      <color rgb="FF9A3412"/>
      <sz val="10"/>
    </font>
  </fonts>
  <fills count="6">
    <fill>
      <patternFill/>
    </fill>
    <fill>
      <patternFill patternType="gray125"/>
    </fill>
    <fill>
      <patternFill patternType="solid">
        <fgColor rgb="FF1F5661"/>
      </patternFill>
    </fill>
    <fill>
      <patternFill patternType="solid">
        <fgColor rgb="FFFFF4E0"/>
      </patternFill>
    </fill>
    <fill>
      <patternFill patternType="solid">
        <fgColor rgb="FFE8EFEF"/>
      </patternFill>
    </fill>
    <fill>
      <patternFill patternType="solid">
        <fgColor rgb="FFF2F7F7"/>
      </patternFill>
    </fill>
  </fills>
  <borders count="2">
    <border>
      <left/>
      <right/>
      <top/>
      <bottom/>
      <diagonal/>
    </border>
    <border>
      <left style="thin">
        <color rgb="FF9FBAC0"/>
      </left>
      <right style="thin">
        <color rgb="FF9FBAC0"/>
      </right>
      <top style="thin">
        <color rgb="FF9FBAC0"/>
      </top>
      <bottom style="thin">
        <color rgb="FF9FBAC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7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2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5" customWidth="1" min="3" max="3"/>
    <col width="15" customWidth="1" min="4" max="4"/>
    <col width="46" customWidth="1" min="5" max="5"/>
  </cols>
  <sheetData>
    <row r="1">
      <c r="A1" s="1" t="inlineStr">
        <is>
          <t>T-11 — Disproportionality Calculation Worksheet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Complete one worksheet per product–event combination taken forward from quantitative screening, before any recommendation is written.</t>
        </is>
      </c>
    </row>
    <row r="6">
      <c r="A6" s="5" t="inlineStr">
        <is>
          <t>Chapter 8. Enter values only in the amber input cells. Every other value is a live formula and will move when the inputs move.</t>
        </is>
      </c>
    </row>
    <row r="7">
      <c r="A7" s="5" t="inlineStr">
        <is>
          <t>A disproportionality measure quantifies reporting within one database. It is not an incidence, not a relative risk, and not a comparison of safety between products.</t>
        </is>
      </c>
    </row>
    <row r="9">
      <c r="A9" s="6" t="inlineStr">
        <is>
          <t>1. Provenance — without these fields the numbers cannot be reproduced</t>
        </is>
      </c>
    </row>
    <row r="10">
      <c r="A10" s="7" t="inlineStr">
        <is>
          <t>Provenance field</t>
        </is>
      </c>
      <c r="B10" s="7" t="inlineStr">
        <is>
          <t>Entry</t>
        </is>
      </c>
      <c r="C10" s="7" t="inlineStr"/>
      <c r="D10" s="7" t="inlineStr"/>
      <c r="E10" s="7" t="inlineStr">
        <is>
          <t>Why it is required</t>
        </is>
      </c>
    </row>
    <row r="11">
      <c r="A11" s="8" t="inlineStr">
        <is>
          <t>Product (active moiety, formulation, route)</t>
        </is>
      </c>
      <c r="B11" s="9" t="inlineStr">
        <is>
          <t>Velantor (velantoral), oral tablet, once daily</t>
        </is>
      </c>
      <c r="C11" s="8" t="n"/>
      <c r="D11" s="8" t="n"/>
      <c r="E11" s="10" t="inlineStr">
        <is>
          <t>Identifies the exposure whose reports are being counted.</t>
        </is>
      </c>
    </row>
    <row r="12">
      <c r="A12" s="11" t="inlineStr">
        <is>
          <t>Event as a clinical concept</t>
        </is>
      </c>
      <c r="B12" s="9" t="inlineStr">
        <is>
          <t>Agranulocytosis / severe neutropenia</t>
        </is>
      </c>
      <c r="C12" s="11" t="n"/>
      <c r="D12" s="11" t="n"/>
      <c r="E12" s="12" t="inlineStr">
        <is>
          <t>Term selection, not the coded term alone, defines cell a.</t>
        </is>
      </c>
    </row>
    <row r="13">
      <c r="A13" s="8" t="inlineStr">
        <is>
          <t>MedDRA version and retrieval (terms, SMQ, scope)</t>
        </is>
      </c>
      <c r="B13" s="9" t="inlineStr">
        <is>
          <t>MedDRA 29.1; PT Agranulocytosis, Neutropenia, Neutrophil count decreased</t>
        </is>
      </c>
      <c r="C13" s="8" t="n"/>
      <c r="D13" s="8" t="n"/>
      <c r="E13" s="10" t="inlineStr">
        <is>
          <t>A different version or scope produces different counts.</t>
        </is>
      </c>
    </row>
    <row r="14">
      <c r="A14" s="11" t="inlineStr">
        <is>
          <t>Database screened</t>
        </is>
      </c>
      <c r="B14" s="9" t="inlineStr">
        <is>
          <t>Company global safety database (illustrative)</t>
        </is>
      </c>
      <c r="C14" s="11" t="n"/>
      <c r="D14" s="11" t="n"/>
      <c r="E14" s="12" t="inlineStr">
        <is>
          <t>Fixes the comparator, which is the rest of this database.</t>
        </is>
      </c>
    </row>
    <row r="15">
      <c r="A15" s="8" t="inlineStr">
        <is>
          <t>Frozen data cut (date and time)</t>
        </is>
      </c>
      <c r="B15" s="9" t="inlineStr">
        <is>
          <t>30 June, Year 2</t>
        </is>
      </c>
      <c r="C15" s="8" t="n"/>
      <c r="D15" s="8" t="n"/>
      <c r="E15" s="10" t="inlineStr">
        <is>
          <t>Counts change daily; an undated estimate is unreproducible.</t>
        </is>
      </c>
    </row>
    <row r="16">
      <c r="A16" s="11" t="inlineStr">
        <is>
          <t>Drug roles included (suspect / interacting / concomitant)</t>
        </is>
      </c>
      <c r="B16" s="9" t="inlineStr">
        <is>
          <t>Suspect and interacting</t>
        </is>
      </c>
      <c r="C16" s="11" t="n"/>
      <c r="D16" s="11" t="n"/>
      <c r="E16" s="12" t="inlineStr">
        <is>
          <t>Including concomitant roles usually raises a and b together.</t>
        </is>
      </c>
    </row>
    <row r="17">
      <c r="A17" s="8" t="inlineStr">
        <is>
          <t>Duplicate management performed before counting? How many removed?</t>
        </is>
      </c>
      <c r="B17" s="9" t="inlineStr">
        <is>
          <t>Yes — see row 'count stability' on the Interpretation sheet</t>
        </is>
      </c>
      <c r="C17" s="8" t="n"/>
      <c r="D17" s="8" t="n"/>
      <c r="E17" s="10" t="inlineStr">
        <is>
          <t>Duplicates inflate a disproportionately; Velantor 24 reports → 20 unique cases.</t>
        </is>
      </c>
    </row>
    <row r="18">
      <c r="A18" s="11" t="inlineStr">
        <is>
          <t>Analyst and date</t>
        </is>
      </c>
      <c r="B18" s="9" t="inlineStr"/>
      <c r="C18" s="11" t="n"/>
      <c r="D18" s="11" t="n"/>
      <c r="E18" s="12" t="inlineStr">
        <is>
          <t>Names the person who must be able to defend the retrieval.</t>
        </is>
      </c>
    </row>
    <row r="20">
      <c r="A20" s="6" t="inlineStr">
        <is>
          <t>2. The two-by-two table (unit counted = the report, not the patient)</t>
        </is>
      </c>
    </row>
    <row r="21">
      <c r="A21" s="7" t="inlineStr">
        <is>
          <t>Cell</t>
        </is>
      </c>
      <c r="B21" s="7" t="inlineStr">
        <is>
          <t>Definition</t>
        </is>
      </c>
      <c r="C21" s="7" t="inlineStr">
        <is>
          <t>Count</t>
        </is>
      </c>
      <c r="D21" s="7" t="inlineStr"/>
      <c r="E21" s="7" t="inlineStr">
        <is>
          <t>Note</t>
        </is>
      </c>
    </row>
    <row r="22">
      <c r="A22" s="13" t="inlineStr">
        <is>
          <t>a</t>
        </is>
      </c>
      <c r="B22" s="8" t="inlineStr">
        <is>
          <t>Reports with the product and the event</t>
        </is>
      </c>
      <c r="C22" s="14" t="n">
        <v>24</v>
      </c>
      <c r="D22" s="8" t="n"/>
      <c r="E22" s="10" t="inlineStr">
        <is>
          <t>Small a widens every interval; 1/a dominates the standard error.</t>
        </is>
      </c>
    </row>
    <row r="23">
      <c r="A23" s="15" t="inlineStr">
        <is>
          <t>b</t>
        </is>
      </c>
      <c r="B23" s="11" t="inlineStr">
        <is>
          <t>Reports with the product and any other event</t>
        </is>
      </c>
      <c r="C23" s="14" t="n">
        <v>3976</v>
      </c>
      <c r="D23" s="11" t="n"/>
      <c r="E23" s="12" t="inlineStr">
        <is>
          <t>All other reports for this product at this data cut.</t>
        </is>
      </c>
    </row>
    <row r="24">
      <c r="A24" s="13" t="inlineStr">
        <is>
          <t>c</t>
        </is>
      </c>
      <c r="B24" s="8" t="inlineStr">
        <is>
          <t>Reports with any other product and the event</t>
        </is>
      </c>
      <c r="C24" s="14" t="n">
        <v>80</v>
      </c>
      <c r="D24" s="8" t="n"/>
      <c r="E24" s="10" t="inlineStr">
        <is>
          <t>The comparator is the rest of the database, not a control group.</t>
        </is>
      </c>
    </row>
    <row r="25">
      <c r="A25" s="15" t="inlineStr">
        <is>
          <t>d</t>
        </is>
      </c>
      <c r="B25" s="11" t="inlineStr">
        <is>
          <t>Reports with any other product and any other event</t>
        </is>
      </c>
      <c r="C25" s="14" t="n">
        <v>95920</v>
      </c>
      <c r="D25" s="11" t="n"/>
      <c r="E25" s="12" t="inlineStr">
        <is>
          <t>Not a population and not a random sample of anything.</t>
        </is>
      </c>
    </row>
    <row r="26">
      <c r="A26" s="15" t="inlineStr">
        <is>
          <t>a + b</t>
        </is>
      </c>
      <c r="B26" s="11" t="inlineStr">
        <is>
          <t>All reports for the product</t>
        </is>
      </c>
      <c r="C26" s="16">
        <f>C22+C23</f>
        <v/>
      </c>
      <c r="D26" s="11" t="n"/>
      <c r="E26" s="12" t="inlineStr"/>
    </row>
    <row r="27">
      <c r="A27" s="13" t="inlineStr">
        <is>
          <t>c + d</t>
        </is>
      </c>
      <c r="B27" s="8" t="inlineStr">
        <is>
          <t>All reports for all other products</t>
        </is>
      </c>
      <c r="C27" s="16">
        <f>C24+C25</f>
        <v/>
      </c>
      <c r="D27" s="8" t="n"/>
      <c r="E27" s="10" t="inlineStr"/>
    </row>
    <row r="28">
      <c r="A28" s="15" t="inlineStr">
        <is>
          <t>a + c</t>
        </is>
      </c>
      <c r="B28" s="11" t="inlineStr">
        <is>
          <t>All reports of the event in the database</t>
        </is>
      </c>
      <c r="C28" s="16">
        <f>C22+C24</f>
        <v/>
      </c>
      <c r="D28" s="11" t="n"/>
      <c r="E28" s="12" t="inlineStr"/>
    </row>
    <row r="29">
      <c r="A29" s="13" t="inlineStr">
        <is>
          <t>b + d</t>
        </is>
      </c>
      <c r="B29" s="8" t="inlineStr">
        <is>
          <t>All reports of any other event</t>
        </is>
      </c>
      <c r="C29" s="16">
        <f>C23+C25</f>
        <v/>
      </c>
      <c r="D29" s="8" t="n"/>
      <c r="E29" s="10" t="inlineStr"/>
    </row>
    <row r="30">
      <c r="A30" s="15" t="inlineStr">
        <is>
          <t>N</t>
        </is>
      </c>
      <c r="B30" s="11" t="inlineStr">
        <is>
          <t>Total reports in the database at this cut</t>
        </is>
      </c>
      <c r="C30" s="16">
        <f>C22+C23+C24+C25</f>
        <v/>
      </c>
      <c r="D30" s="11" t="n"/>
      <c r="E30" s="12" t="inlineStr"/>
    </row>
    <row r="32">
      <c r="A32" s="6" t="inlineStr">
        <is>
          <t>3. Measures — all cells below are live formulas</t>
        </is>
      </c>
    </row>
    <row r="33">
      <c r="A33" s="7" t="inlineStr">
        <is>
          <t>Measure</t>
        </is>
      </c>
      <c r="B33" s="7" t="inlineStr">
        <is>
          <t>Value</t>
        </is>
      </c>
      <c r="C33" s="7" t="inlineStr">
        <is>
          <t>95% lower</t>
        </is>
      </c>
      <c r="D33" s="7" t="inlineStr">
        <is>
          <t>95% upper</t>
        </is>
      </c>
      <c r="E33" s="7" t="inlineStr">
        <is>
          <t>Formula as computed</t>
        </is>
      </c>
    </row>
    <row r="34">
      <c r="A34" s="13" t="inlineStr">
        <is>
          <t>PRR  (proportional reporting ratio)</t>
        </is>
      </c>
      <c r="B34" s="17">
        <f>((C22/C26)/(C24/C27))</f>
        <v/>
      </c>
      <c r="C34" s="17">
        <f>EXP(LN(((C22/C26)/(C24/C27)))-1.96*SQRT(1/C22-1/C26+1/C24-1/C27))</f>
        <v/>
      </c>
      <c r="D34" s="17">
        <f>EXP(LN(((C22/C26)/(C24/C27)))+1.96*SQRT(1/C22-1/C26+1/C24-1/C27))</f>
        <v/>
      </c>
      <c r="E34" s="10" t="inlineStr">
        <is>
          <t>PRR = [a/(a+b)] / [c/(c+d)];  SE(lnPRR) = √(1/a − 1/(a+b) + 1/c − 1/(c+d));  CI = exp(lnPRR ± 1.96·SE)</t>
        </is>
      </c>
    </row>
    <row r="35">
      <c r="A35" s="8" t="inlineStr">
        <is>
          <t xml:space="preserve">   SE(ln PRR)</t>
        </is>
      </c>
      <c r="B35" s="18">
        <f>SQRT(1/C22-1/C26+1/C24-1/C27)</f>
        <v/>
      </c>
      <c r="C35" s="8" t="n"/>
      <c r="D35" s="8" t="n"/>
      <c r="E35" s="10" t="inlineStr">
        <is>
          <t>Reported so a reviewer can see how much of the interval width comes from cell a.</t>
        </is>
      </c>
    </row>
    <row r="36">
      <c r="A36" s="15" t="inlineStr">
        <is>
          <t>ROR  (reporting odds ratio)</t>
        </is>
      </c>
      <c r="B36" s="17">
        <f>((C22*C25)/(C23*C24))</f>
        <v/>
      </c>
      <c r="C36" s="17">
        <f>EXP(LN(((C22*C25)/(C23*C24)))-1.96*SQRT(1/C22+1/C23+1/C24+1/C25))</f>
        <v/>
      </c>
      <c r="D36" s="17">
        <f>EXP(LN(((C22*C25)/(C23*C24)))+1.96*SQRT(1/C22+1/C23+1/C24+1/C25))</f>
        <v/>
      </c>
      <c r="E36" s="12" t="inlineStr">
        <is>
          <t>ROR = (a·d)/(b·c);  SE(lnROR) = √(1/a + 1/b + 1/c + 1/d);  CI = exp(lnROR ± 1.96·SE)</t>
        </is>
      </c>
    </row>
    <row r="37">
      <c r="A37" s="8" t="inlineStr">
        <is>
          <t xml:space="preserve">   SE(ln ROR)</t>
        </is>
      </c>
      <c r="B37" s="18">
        <f>SQRT(1/C22+1/C23+1/C24+1/C25)</f>
        <v/>
      </c>
      <c r="C37" s="8" t="n"/>
      <c r="D37" s="8" t="n"/>
      <c r="E37" s="10" t="inlineStr">
        <is>
          <t>PRR and ROR converge when the event is rare within each group.</t>
        </is>
      </c>
    </row>
    <row r="38">
      <c r="A38" s="15" t="inlineStr">
        <is>
          <t>Chi-square for the 2×2 table</t>
        </is>
      </c>
      <c r="B38" s="19">
        <f>C30*((C22*C25)-(C23*C24))^2/(C26*C27*C28*C29)</f>
        <v/>
      </c>
      <c r="C38" s="11" t="n"/>
      <c r="D38" s="11" t="n"/>
      <c r="E38" s="12" t="inlineStr">
        <is>
          <t>χ² = N(ad − bc)² / [(a+b)(c+d)(a+c)(b+d)]. A crude stability check, not a test of causality.</t>
        </is>
      </c>
    </row>
    <row r="39">
      <c r="A39" s="13" t="inlineStr">
        <is>
          <t>Nexp  (expected count under independence)</t>
        </is>
      </c>
      <c r="B39" s="17">
        <f>(C26*C28)/C30</f>
        <v/>
      </c>
      <c r="C39" s="8" t="n"/>
      <c r="D39" s="8" t="n"/>
      <c r="E39" s="10" t="inlineStr">
        <is>
          <t>Nexp = (reports for the product × reports of the event) / total reports.</t>
        </is>
      </c>
    </row>
    <row r="40">
      <c r="A40" s="15" t="inlineStr">
        <is>
          <t>IC  (Information Component)</t>
        </is>
      </c>
      <c r="B40" s="17">
        <f>LOG((C22+0.5)/(B39+0.5),2)</f>
        <v/>
      </c>
      <c r="C40" s="11" t="n"/>
      <c r="D40" s="11" t="n"/>
      <c r="E40" s="12" t="inlineStr">
        <is>
          <t>IC = log₂[(N + 0.5) / (Nexp + 0.5)]. Additive constants are the Bayesian shrinkage. CIOMS WG VIII (2010); note the published corrigendum to the formula on p. 54.</t>
        </is>
      </c>
    </row>
    <row r="41">
      <c r="A41" s="13" t="inlineStr">
        <is>
          <t>IC₀₂₅  (lower 95% credibility bound)</t>
        </is>
      </c>
      <c r="B41" s="17">
        <f>B40-3.3*(C22+0.5)^-0.5-2*(C22+0.5)^-1.5</f>
        <v/>
      </c>
      <c r="C41" s="8" t="n"/>
      <c r="D41" s="8" t="n"/>
      <c r="E41" s="10" t="inlineStr">
        <is>
          <t>IC₀₂₅ = IC − 3.3(N+0.5)^−0.5 − 2(N+0.5)^−1.5. IC₀₂₅ &gt; 0 is the usual flagging rule — a screening convention, not a regulatory requirement.</t>
        </is>
      </c>
    </row>
    <row r="43">
      <c r="A43" s="6" t="inlineStr">
        <is>
          <t>4. Screening convention (company design — not a regulatory requirement)</t>
        </is>
      </c>
    </row>
    <row r="44">
      <c r="A44" s="7" t="inlineStr">
        <is>
          <t>Component</t>
        </is>
      </c>
      <c r="B44" s="7" t="inlineStr">
        <is>
          <t>Threshold</t>
        </is>
      </c>
      <c r="C44" s="7" t="inlineStr">
        <is>
          <t>Met?</t>
        </is>
      </c>
      <c r="D44" s="7" t="inlineStr"/>
      <c r="E44" s="7" t="inlineStr">
        <is>
          <t>Comment</t>
        </is>
      </c>
    </row>
    <row r="45">
      <c r="A45" s="8" t="inlineStr">
        <is>
          <t>PRR</t>
        </is>
      </c>
      <c r="B45" s="9" t="n">
        <v>2</v>
      </c>
      <c r="C45" s="20">
        <f>IF(B34&gt;=B45,"Yes","No")</f>
        <v/>
      </c>
      <c r="D45" s="8" t="n"/>
      <c r="E45" s="10" t="inlineStr">
        <is>
          <t>The ratio sets a minimum degree of disproportionality.</t>
        </is>
      </c>
    </row>
    <row r="46">
      <c r="A46" s="11" t="inlineStr">
        <is>
          <t>Report count N (= a)</t>
        </is>
      </c>
      <c r="B46" s="9" t="n">
        <v>3</v>
      </c>
      <c r="C46" s="20">
        <f>IF(C22&gt;=B46,"Yes","No")</f>
        <v/>
      </c>
      <c r="D46" s="11" t="n"/>
      <c r="E46" s="12" t="inlineStr">
        <is>
          <t>Suppresses combinations driven by one or two reports.</t>
        </is>
      </c>
    </row>
    <row r="47">
      <c r="A47" s="8" t="inlineStr">
        <is>
          <t>Chi-square</t>
        </is>
      </c>
      <c r="B47" s="9" t="n">
        <v>4</v>
      </c>
      <c r="C47" s="20">
        <f>IF(B38&gt;=B47,"Yes","No")</f>
        <v/>
      </c>
      <c r="D47" s="8" t="n"/>
      <c r="E47" s="10" t="inlineStr">
        <is>
          <t>A crude stability check on the table.</t>
        </is>
      </c>
    </row>
    <row r="48">
      <c r="A48" s="11" t="inlineStr">
        <is>
          <t>IC₀₂₅</t>
        </is>
      </c>
      <c r="B48" s="9" t="n">
        <v>0</v>
      </c>
      <c r="C48" s="20">
        <f>IF(B41&gt;B48,"Yes","No")</f>
        <v/>
      </c>
      <c r="D48" s="11" t="n"/>
      <c r="E48" s="12" t="inlineStr">
        <is>
          <t>Bayesian alternative used where sparse combinations are screened in bulk.</t>
        </is>
      </c>
    </row>
    <row r="49">
      <c r="A49" s="5" t="inlineStr">
        <is>
          <t>A combination meeting all components is a candidate for clinical review. It is not a signal, and a combination below the thresholds has not been ruled out.</t>
        </is>
      </c>
    </row>
    <row r="51">
      <c r="A51" s="6" t="inlineStr">
        <is>
          <t>5. Masking check — recompute with the dominant contributor removed</t>
        </is>
      </c>
    </row>
    <row r="52">
      <c r="A52" s="7" t="inlineStr">
        <is>
          <t>Field</t>
        </is>
      </c>
      <c r="B52" s="7" t="inlineStr">
        <is>
          <t>Entry</t>
        </is>
      </c>
      <c r="C52" s="7" t="inlineStr">
        <is>
          <t>Recomputed</t>
        </is>
      </c>
      <c r="D52" s="7" t="inlineStr"/>
      <c r="E52" s="7" t="inlineStr">
        <is>
          <t>Note</t>
        </is>
      </c>
    </row>
    <row r="53">
      <c r="A53" s="8" t="inlineStr">
        <is>
          <t>Product dominating the event reports (name)</t>
        </is>
      </c>
      <c r="B53" s="9" t="inlineStr"/>
      <c r="C53" s="8" t="n"/>
      <c r="D53" s="8" t="n"/>
      <c r="E53" s="10" t="inlineStr">
        <is>
          <t>The comparator proportion c/(c+d) is shared by every product in the database.</t>
        </is>
      </c>
    </row>
    <row r="54">
      <c r="A54" s="11" t="inlineStr">
        <is>
          <t>Its event reports to remove from c</t>
        </is>
      </c>
      <c r="B54" s="9" t="n">
        <v>0</v>
      </c>
      <c r="C54" s="11" t="n"/>
      <c r="D54" s="11" t="n"/>
      <c r="E54" s="12" t="inlineStr">
        <is>
          <t>Enter 0 if no masking check performed.</t>
        </is>
      </c>
    </row>
    <row r="55">
      <c r="A55" s="8" t="inlineStr">
        <is>
          <t>Its other reports to remove from d</t>
        </is>
      </c>
      <c r="B55" s="9" t="n">
        <v>0</v>
      </c>
      <c r="C55" s="8" t="n"/>
      <c r="D55" s="8" t="n"/>
      <c r="E55" s="10" t="inlineStr"/>
    </row>
    <row r="56">
      <c r="A56" s="15" t="inlineStr">
        <is>
          <t>PRR with that product excluded from the comparator</t>
        </is>
      </c>
      <c r="B56" s="11" t="n"/>
      <c r="C56" s="17">
        <f>((C22/C26))/(((C24-B54)/((C24-B54)+(C25-B55))))</f>
        <v/>
      </c>
      <c r="D56" s="11" t="n"/>
      <c r="E56" s="12" t="inlineStr">
        <is>
          <t>Nothing about the product changed; the reference did.</t>
        </is>
      </c>
    </row>
    <row r="58">
      <c r="A58" s="6" t="inlineStr">
        <is>
          <t>6. Count-stability check</t>
        </is>
      </c>
    </row>
    <row r="59">
      <c r="A59" s="7" t="inlineStr">
        <is>
          <t>Scenario</t>
        </is>
      </c>
      <c r="B59" s="7" t="inlineStr">
        <is>
          <t>a used</t>
        </is>
      </c>
      <c r="C59" s="7" t="inlineStr">
        <is>
          <t>PRR</t>
        </is>
      </c>
      <c r="D59" s="7" t="inlineStr">
        <is>
          <t>IC₀₂₅</t>
        </is>
      </c>
      <c r="E59" s="7" t="inlineStr">
        <is>
          <t>What it tests</t>
        </is>
      </c>
    </row>
    <row r="60">
      <c r="A60" s="8" t="inlineStr">
        <is>
          <t>As counted</t>
        </is>
      </c>
      <c r="B60" s="20">
        <f>C22</f>
        <v/>
      </c>
      <c r="C60" s="17">
        <f>((B60/C26))/(C24/C27)</f>
        <v/>
      </c>
      <c r="D60" s="17">
        <f>LOG((B60+0.5)/(B39+0.5),2)-3.3*(B60+0.5)^-0.5-2*(B60+0.5)^-1.5</f>
        <v/>
      </c>
      <c r="E60" s="10" t="inlineStr">
        <is>
          <t>the reported position</t>
        </is>
      </c>
    </row>
    <row r="61">
      <c r="A61" s="11" t="inlineStr">
        <is>
          <t>Two most recent reports removed</t>
        </is>
      </c>
      <c r="B61" s="20">
        <f>C22-2</f>
        <v/>
      </c>
      <c r="C61" s="17">
        <f>((B61/C26))/(C24/C27)</f>
        <v/>
      </c>
      <c r="D61" s="17">
        <f>LOG((B61+0.5)/(B39+0.5),2)-3.3*(B61+0.5)^-0.5-2*(B61+0.5)^-1.5</f>
        <v/>
      </c>
      <c r="E61" s="12" t="inlineStr">
        <is>
          <t>whether the estimate rests on the last fortnight of reporting</t>
        </is>
      </c>
    </row>
    <row r="62">
      <c r="A62" s="8" t="inlineStr">
        <is>
          <t>Unique cases after deduplication</t>
        </is>
      </c>
      <c r="B62" s="21" t="n">
        <v>20</v>
      </c>
      <c r="C62" s="17">
        <f>((B62/C26))/(C24/C27)</f>
        <v/>
      </c>
      <c r="D62" s="17">
        <f>LOG((B62+0.5)/(B39+0.5),2)-3.3*(B62+0.5)^-0.5-2*(B62+0.5)^-1.5</f>
        <v/>
      </c>
      <c r="E62" s="10" t="inlineStr">
        <is>
          <t>how much of the disproportionality was duplication</t>
        </is>
      </c>
    </row>
    <row r="63">
      <c r="A63" s="11" t="inlineStr">
        <is>
          <t>Assessable cases only</t>
        </is>
      </c>
      <c r="B63" s="21" t="n">
        <v>16</v>
      </c>
      <c r="C63" s="17">
        <f>((B63/C26))/(C24/C27)</f>
        <v/>
      </c>
      <c r="D63" s="17">
        <f>LOG((B63+0.5)/(B39+0.5),2)-3.3*(B63+0.5)^-0.5-2*(B63+0.5)^-1.5</f>
        <v/>
      </c>
      <c r="E63" s="12" t="inlineStr">
        <is>
          <t>the estimate a clinical reviewer can actually defend</t>
        </is>
      </c>
    </row>
    <row r="64">
      <c r="A64" s="5" t="inlineStr">
        <is>
          <t>Holding the comparator fixed while a changes is an illustrative simplification; where the comparator is also recomputed, record that it was.</t>
        </is>
      </c>
    </row>
    <row r="66">
      <c r="A66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mergeCells count="8">
    <mergeCell ref="B11:D11"/>
    <mergeCell ref="B14:D14"/>
    <mergeCell ref="B15:D15"/>
    <mergeCell ref="B17:D17"/>
    <mergeCell ref="B18:D18"/>
    <mergeCell ref="B13:D13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8" customWidth="1" min="3" max="3"/>
    <col width="46" customWidth="1" min="4" max="4"/>
    <col width="18" customWidth="1" min="5" max="5"/>
  </cols>
  <sheetData>
    <row r="1">
      <c r="A1" s="1" t="inlineStr">
        <is>
          <t>T-11 — Interpretation prompts — complete before any recommendation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Every prompt is answered in writing. A worksheet that stops at the confidence interval has documented a number and nothing else.</t>
        </is>
      </c>
    </row>
    <row r="7">
      <c r="A7" s="7" t="inlineStr">
        <is>
          <t>#</t>
        </is>
      </c>
      <c r="B7" s="7" t="inlineStr">
        <is>
          <t>Prompt</t>
        </is>
      </c>
      <c r="C7" s="7" t="inlineStr">
        <is>
          <t>What a good answer contains</t>
        </is>
      </c>
      <c r="D7" s="7" t="inlineStr">
        <is>
          <t>Your answer</t>
        </is>
      </c>
      <c r="E7" s="7" t="inlineStr">
        <is>
          <t>Answered (Y/N)</t>
        </is>
      </c>
    </row>
    <row r="8" ht="42" customHeight="1">
      <c r="A8" s="8" t="n">
        <v>1</v>
      </c>
      <c r="B8" s="13" t="inlineStr">
        <is>
          <t>Count stability</t>
        </is>
      </c>
      <c r="C8" s="8" t="inlineStr">
        <is>
          <t>What happens to the estimate if the 2 most recent reports are removed? Does the interval still exclude 1?</t>
        </is>
      </c>
      <c r="D8" s="10" t="inlineStr">
        <is>
          <t>The recomputed value from section 6 of the Calculation sheet, and a sentence on whether the position depends on the last reporting cycle.</t>
        </is>
      </c>
      <c r="E8" s="21" t="inlineStr"/>
    </row>
    <row r="9" ht="42" customHeight="1">
      <c r="A9" s="11" t="n">
        <v>2</v>
      </c>
      <c r="B9" s="15" t="inlineStr">
        <is>
          <t>Duplicates</t>
        </is>
      </c>
      <c r="C9" s="11" t="inlineStr">
        <is>
          <t>Were duplicates managed before counting, by what method, and how many were removed by type?</t>
        </is>
      </c>
      <c r="D9" s="12" t="inlineStr">
        <is>
          <t>Deterministic and probabilistic methods named; counts by type; e.g. 24 reports → 20 unique cases → PRR falls from 7.20 to 6.00.</t>
        </is>
      </c>
      <c r="E9" s="21" t="inlineStr"/>
    </row>
    <row r="10" ht="42" customHeight="1">
      <c r="A10" s="8" t="n">
        <v>3</v>
      </c>
      <c r="B10" s="13" t="inlineStr">
        <is>
          <t>Case quality</t>
        </is>
      </c>
      <c r="C10" s="8" t="inlineStr">
        <is>
          <t>How many reports are assessable against the case definition, and how many are consumer reports without medical confirmation?</t>
        </is>
      </c>
      <c r="D10" s="10" t="inlineStr">
        <is>
          <t>Numerator and denominator for both; the diagnostic elements present (laboratory values, imaging, adjudication).</t>
        </is>
      </c>
      <c r="E10" s="21" t="inlineStr"/>
    </row>
    <row r="11" ht="42" customHeight="1">
      <c r="A11" s="11" t="n">
        <v>4</v>
      </c>
      <c r="B11" s="15" t="inlineStr">
        <is>
          <t>Indication and co-prescribing</t>
        </is>
      </c>
      <c r="C11" s="11" t="inlineStr">
        <is>
          <t>Could the treated population or a co-medication generate this event without the product?</t>
        </is>
      </c>
      <c r="D11" s="12" t="inlineStr">
        <is>
          <t>The background morbidity of the indication, named co-medications, and whether a restricted comparator was tried.</t>
        </is>
      </c>
      <c r="E11" s="21" t="inlineStr"/>
    </row>
    <row r="12" ht="42" customHeight="1">
      <c r="A12" s="8" t="n">
        <v>5</v>
      </c>
      <c r="B12" s="13" t="inlineStr">
        <is>
          <t>Product age and reporting context</t>
        </is>
      </c>
      <c r="C12" s="8" t="inlineStr">
        <is>
          <t>Is there publicity, litigation, a regulatory communication, a publication, or a launch effect in this period?</t>
        </is>
      </c>
      <c r="D12" s="10" t="inlineStr">
        <is>
          <t>Dates of any such event set beside the reporting-by-month curve; state 'none identified, sources checked: …' if none.</t>
        </is>
      </c>
      <c r="E12" s="21" t="inlineStr"/>
    </row>
    <row r="13" ht="42" customHeight="1">
      <c r="A13" s="11" t="n">
        <v>6</v>
      </c>
      <c r="B13" s="15" t="inlineStr">
        <is>
          <t>Confounding and channelling</t>
        </is>
      </c>
      <c r="C13" s="11" t="inlineStr">
        <is>
          <t>What would have to be true of the comparator for this disproportionality to be an artifact?</t>
        </is>
      </c>
      <c r="D13" s="12" t="inlineStr">
        <is>
          <t>The specific alternative explanation, and what was done to test it — not the sentence 'confounding cannot be excluded'.</t>
        </is>
      </c>
      <c r="E13" s="21" t="inlineStr"/>
    </row>
    <row r="14" ht="42" customHeight="1">
      <c r="A14" s="8" t="n">
        <v>7</v>
      </c>
      <c r="B14" s="13" t="inlineStr">
        <is>
          <t>Masking</t>
        </is>
      </c>
      <c r="C14" s="8" t="inlineStr">
        <is>
          <t>Which product dominates the event reports, and what is the estimate without it?</t>
        </is>
      </c>
      <c r="D14" s="10" t="inlineStr">
        <is>
          <t>The recomputed PRR from section 5, and whether the original value sat near a threshold or far above it.</t>
        </is>
      </c>
      <c r="E14" s="21" t="inlineStr"/>
    </row>
    <row r="15" ht="42" customHeight="1">
      <c r="A15" s="11" t="n">
        <v>8</v>
      </c>
      <c r="B15" s="15" t="inlineStr">
        <is>
          <t>Reproducibility</t>
        </is>
      </c>
      <c r="C15" s="11" t="inlineStr">
        <is>
          <t>Can a second analyst reproduce these counts exactly from the provenance block alone?</t>
        </is>
      </c>
      <c r="D15" s="12" t="inlineStr">
        <is>
          <t>Yes, with the archived query or parameter set referenced; or the specific missing element.</t>
        </is>
      </c>
      <c r="E15" s="21" t="inlineStr"/>
    </row>
    <row r="17">
      <c r="A17" s="6" t="inlineStr">
        <is>
          <t>Recommendation — not to be completed until every prompt above is answered</t>
        </is>
      </c>
    </row>
    <row r="18">
      <c r="A18" s="7" t="inlineStr"/>
      <c r="B18" s="7" t="inlineStr">
        <is>
          <t>Field</t>
        </is>
      </c>
      <c r="C18" s="7" t="inlineStr">
        <is>
          <t>What to write</t>
        </is>
      </c>
      <c r="D18" s="7" t="inlineStr">
        <is>
          <t>Your entry</t>
        </is>
      </c>
      <c r="E18" s="7" t="inlineStr"/>
    </row>
    <row r="19" ht="34" customHeight="1">
      <c r="A19" s="8" t="inlineStr"/>
      <c r="B19" s="13" t="inlineStr">
        <is>
          <t>What this analysis supports</t>
        </is>
      </c>
      <c r="C19" s="10" t="inlineStr">
        <is>
          <t>Prioritization of the combination for clinical review; a place in the queue. Use process-step vocabulary: 'disproportionality screening flagged the combination'.</t>
        </is>
      </c>
      <c r="D19" s="21" t="inlineStr"/>
      <c r="E19" s="8" t="inlineStr"/>
    </row>
    <row r="20" ht="34" customHeight="1">
      <c r="A20" s="11" t="inlineStr"/>
      <c r="B20" s="15" t="inlineStr">
        <is>
          <t>What it explicitly does not support</t>
        </is>
      </c>
      <c r="C20" s="12" t="inlineStr">
        <is>
          <t>Any statement of incidence, absolute frequency, comparative safety between products, or causality, however large the value.</t>
        </is>
      </c>
      <c r="D20" s="21" t="inlineStr"/>
      <c r="E20" s="11" t="inlineStr"/>
    </row>
    <row r="21" ht="34" customHeight="1">
      <c r="A21" s="8" t="inlineStr"/>
      <c r="B21" s="13" t="inlineStr">
        <is>
          <t>Recommended next step</t>
        </is>
      </c>
      <c r="C21" s="10" t="inlineStr">
        <is>
          <t>Clinical review of the assessable cases; targeted follow-up; validation decision — with an owner and a due date.</t>
        </is>
      </c>
      <c r="D21" s="21" t="inlineStr"/>
      <c r="E21" s="8" t="inlineStr"/>
    </row>
    <row r="22" ht="34" customHeight="1">
      <c r="A22" s="11" t="inlineStr"/>
      <c r="B22" s="15" t="inlineStr">
        <is>
          <t>Analyst, second reviewer, date</t>
        </is>
      </c>
      <c r="C22" s="12" t="inlineStr">
        <is>
          <t>Names, roles, dates. A second reviewer is required wherever the recommendation is to take no action.</t>
        </is>
      </c>
      <c r="D22" s="21" t="inlineStr"/>
      <c r="E22" s="11" t="inlineStr"/>
    </row>
    <row r="24">
      <c r="A24" s="5" t="inlineStr">
        <is>
          <t>Never write that the PRR was significant, that the ROR confirmed anything, or that data mining detected a signal. Screening flags combinations; case material carries the inference.</t>
        </is>
      </c>
    </row>
    <row r="26">
      <c r="A26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4" customWidth="1" min="3" max="3"/>
    <col width="44" customWidth="1" min="4" max="4"/>
  </cols>
  <sheetData>
    <row r="1">
      <c r="A1" s="1" t="inlineStr">
        <is>
          <t>T-11 — What each measure supports and does not support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Read this sheet before writing the recommendation.</t>
        </is>
      </c>
    </row>
    <row r="7">
      <c r="A7" s="7" t="inlineStr">
        <is>
          <t>Measure</t>
        </is>
      </c>
      <c r="B7" s="7" t="inlineStr">
        <is>
          <t>Value at the worked example</t>
        </is>
      </c>
      <c r="C7" s="7" t="inlineStr">
        <is>
          <t>Supports</t>
        </is>
      </c>
      <c r="D7" s="7" t="inlineStr">
        <is>
          <t>Does not support</t>
        </is>
      </c>
    </row>
    <row r="8">
      <c r="A8" s="13" t="inlineStr">
        <is>
          <t>PRR</t>
        </is>
      </c>
      <c r="B8" s="8" t="inlineStr">
        <is>
          <t>7.20 (4.57–11.35)</t>
        </is>
      </c>
      <c r="C8" s="8" t="inlineStr">
        <is>
          <t>Prioritizing the combination for clinical review</t>
        </is>
      </c>
      <c r="D8" s="8" t="inlineStr">
        <is>
          <t>Any statement about incidence or absolute frequency</t>
        </is>
      </c>
    </row>
    <row r="9">
      <c r="A9" s="15" t="inlineStr">
        <is>
          <t>ROR</t>
        </is>
      </c>
      <c r="B9" s="11" t="inlineStr">
        <is>
          <t>7.24 (4.58–11.43)</t>
        </is>
      </c>
      <c r="C9" s="11" t="inlineStr">
        <is>
          <t>The same, with a closed-form interval</t>
        </is>
      </c>
      <c r="D9" s="11" t="inlineStr">
        <is>
          <t>Comparison of risk between products</t>
        </is>
      </c>
    </row>
    <row r="10">
      <c r="A10" s="13" t="inlineStr">
        <is>
          <t>IC / IC₀₂₅</t>
        </is>
      </c>
      <c r="B10" s="8" t="inlineStr">
        <is>
          <t>2.39 / 1.71</t>
        </is>
      </c>
      <c r="C10" s="8" t="inlineStr">
        <is>
          <t>Stable ranking across sparse combinations</t>
        </is>
      </c>
      <c r="D10" s="8" t="inlineStr">
        <is>
          <t>A causal conclusion, however large the value</t>
        </is>
      </c>
    </row>
    <row r="11">
      <c r="A11" s="15" t="inlineStr">
        <is>
          <t>EBGM / EB05</t>
        </is>
      </c>
      <c r="B11" s="11" t="inlineStr">
        <is>
          <t>Shrunk toward the fitted database distribution</t>
        </is>
      </c>
      <c r="C11" s="11" t="inlineStr">
        <is>
          <t>Screening thousands of pairs with controlled instability</t>
        </is>
      </c>
      <c r="D11" s="11" t="inlineStr">
        <is>
          <t>An estimate of risk in exposed patients</t>
        </is>
      </c>
    </row>
    <row r="12">
      <c r="A12" s="13" t="inlineStr">
        <is>
          <t>Chi-square</t>
        </is>
      </c>
      <c r="B12" s="8" t="inlineStr">
        <is>
          <t>98.7</t>
        </is>
      </c>
      <c r="C12" s="8" t="inlineStr">
        <is>
          <t>A crude check that the table is not driven by one or two reports</t>
        </is>
      </c>
      <c r="D12" s="8" t="inlineStr">
        <is>
          <t>Statistical significance in the inferential sense; it is not a hypothesis test of risk</t>
        </is>
      </c>
    </row>
    <row r="14">
      <c r="A14" s="5" t="inlineStr">
        <is>
          <t>Worked example: Velantor (a fictional product used throughout this book) agranulocytosis, data cut 30 June, Year 2. All figures illustrative.</t>
        </is>
      </c>
    </row>
    <row r="15">
      <c r="A15" s="5" t="inlineStr">
        <is>
          <t>EU context: monitoring of EudraVigilance is a general obligation on all MAHs with EEA-authorised products under Commission Implementing Regulation (EU) 2025/1466 (in force 12 August 2025), at a frequency proportionate to product risk. It is not a pilot and is not restricted to a list of active substances.</t>
        </is>
      </c>
    </row>
    <row r="16">
      <c r="A16" s="5" t="inlineStr">
        <is>
          <t>US context: screening of the FDA Adverse Event Monitoring System (AEMS, launched 11 March 2026, successor to FAERS) supports FDA's quarterly listing of potential signals of serious risks published under FD&amp;C Act §505(k)(5). Appearance on that listing means FDA is evaluating a combination; it is not a finding of causality.</t>
        </is>
      </c>
    </row>
    <row r="17">
      <c r="A17" s="5" t="inlineStr">
        <is>
          <t>Method references: GVP Module IX Addendum I (EMA/209012/2015, effective 22 November 2017); CIOMS Working Group VIII, Practical Aspects of Signal Detection in Pharmacovigilance (Geneva, 2010).</t>
        </is>
      </c>
    </row>
    <row r="19">
      <c r="A19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2026-09-14T16:53:49Z</dcterms:created>
  <dcterms:modified xmlns:dcterms="http://purl.org/dc/terms/" xmlns:xsi="http://www.w3.org/2001/XMLSchema-instance" xsi:type="dcterms:W3CDTF">2026-09-14T16:53:49Z</dcterms:modified>
</cp:coreProperties>
</file>