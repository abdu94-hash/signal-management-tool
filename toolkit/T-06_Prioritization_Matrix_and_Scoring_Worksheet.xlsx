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 worksheet" sheetId="1" state="visible" r:id="rId1"/>
    <sheet xmlns:r="http://schemas.openxmlformats.org/officeDocument/2006/relationships" name="Anchor definitions" sheetId="2" state="visible" r:id="rId2"/>
    <sheet xmlns:r="http://schemas.openxmlformats.org/officeDocument/2006/relationships" name="Worked 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adea"/>
      <b val="1"/>
      <color rgb="FF1F5661"/>
      <sz val="16"/>
    </font>
    <font>
      <name val="Carlito"/>
      <b val="1"/>
      <color rgb="FF1E2A32"/>
      <sz val="10"/>
    </font>
    <font>
      <name val="Carlito"/>
      <i val="1"/>
      <color rgb="FF4A5B63"/>
      <sz val="9"/>
    </font>
    <font>
      <name val="Carlito"/>
      <color rgb="FF1E2A32"/>
      <sz val="10"/>
    </font>
    <font>
      <name val="Caladea"/>
      <b val="1"/>
      <color rgb="FF1F5661"/>
      <sz val="11.5"/>
    </font>
    <font>
      <name val="Carlito"/>
      <b val="1"/>
      <color rgb="00FFFFFF"/>
      <sz val="10"/>
    </font>
    <font>
      <name val="Carlito"/>
      <b val="1"/>
      <color rgb="FF9A3412"/>
      <sz val="10"/>
    </font>
  </fonts>
  <fills count="6">
    <fill>
      <patternFill/>
    </fill>
    <fill>
      <patternFill patternType="gray125"/>
    </fill>
    <fill>
      <patternFill patternType="solid">
        <fgColor rgb="FF1F5661"/>
      </patternFill>
    </fill>
    <fill>
      <patternFill patternType="solid">
        <fgColor rgb="FFFFF4E0"/>
      </patternFill>
    </fill>
    <fill>
      <patternFill patternType="solid">
        <fgColor rgb="FFE8EFEF"/>
      </patternFill>
    </fill>
    <fill>
      <patternFill patternType="solid">
        <fgColor rgb="FFF2F7F7"/>
      </patternFill>
    </fill>
  </fills>
  <borders count="2">
    <border>
      <left/>
      <right/>
      <top/>
      <bottom/>
      <diagonal/>
    </border>
    <border>
      <left style="thin">
        <color rgb="FF9FBAC0"/>
      </left>
      <right style="thin">
        <color rgb="FF9FBAC0"/>
      </right>
      <top style="thin">
        <color rgb="FF9FBAC0"/>
      </top>
      <bottom style="thin">
        <color rgb="FF9FBAC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56" customWidth="1" min="4" max="4"/>
    <col width="34" customWidth="1" min="5" max="5"/>
  </cols>
  <sheetData>
    <row r="1">
      <c r="A1" s="1" t="inlineStr">
        <is>
          <t>T-06 — Prioritization Matrix and Scoring Worksheet</t>
        </is>
      </c>
    </row>
    <row r="2">
      <c r="A2" s="2" t="inlineStr">
        <is>
          <t>Signal Management in Pharmacovigilance</t>
        </is>
      </c>
    </row>
    <row r="3">
      <c r="A3" s="3" t="inlineStr">
        <is>
          <t>Dr. Hafez Selim, MD, PhD  ·  Selim Medical Press</t>
        </is>
      </c>
    </row>
    <row r="4">
      <c r="A4" s="4" t="inlineStr">
        <is>
          <t>When to use: Complete for every validated signal, including those expected to land in the low band.</t>
        </is>
      </c>
    </row>
    <row r="6">
      <c r="A6" s="5" t="inlineStr">
        <is>
          <t>Chapter 12. The five-domain scale, its anchors, the bands and the response targets are an ILLUSTRATIVE COMPANY DESIGN, not a regulatory requirement. GVP Module IX Rev 1 expects signals to be prioritised; it prescribes no scoring scheme, domain set, weighting or threshold.</t>
        </is>
      </c>
    </row>
    <row r="7">
      <c r="A7" s="5" t="inlineStr">
        <is>
          <t>Prioritization allocates attention, not truth. A lower band means the signal can wait longer for the same assessment — not that it is less likely to be real.</t>
        </is>
      </c>
    </row>
    <row r="9">
      <c r="A9" s="6" t="inlineStr">
        <is>
          <t>1. Identification</t>
        </is>
      </c>
    </row>
    <row r="10">
      <c r="A10" s="7" t="inlineStr">
        <is>
          <t>Field</t>
        </is>
      </c>
      <c r="B10" s="7" t="inlineStr">
        <is>
          <t>Entry</t>
        </is>
      </c>
      <c r="C10" s="7" t="inlineStr"/>
      <c r="D10" s="7" t="inlineStr">
        <is>
          <t>What a good entry looks like</t>
        </is>
      </c>
      <c r="E10" s="7" t="inlineStr"/>
    </row>
    <row r="11">
      <c r="A11" s="8" t="inlineStr">
        <is>
          <t>Signal identifier (tracker reference)</t>
        </is>
      </c>
      <c r="B11" s="9" t="inlineStr"/>
      <c r="C11" s="8" t="n"/>
      <c r="D11" s="10" t="inlineStr">
        <is>
          <t>Unique, and the same identifier used in the tracker, the pre-read and the minutes.</t>
        </is>
      </c>
      <c r="E11" s="8" t="inlineStr"/>
    </row>
    <row r="12">
      <c r="A12" s="11" t="inlineStr">
        <is>
          <t>Product: active moiety, formulation, route</t>
        </is>
      </c>
      <c r="B12" s="9" t="inlineStr"/>
      <c r="C12" s="11" t="n"/>
      <c r="D12" s="12" t="inlineStr">
        <is>
          <t>The moiety, not the brand alone; note combination or device components.</t>
        </is>
      </c>
      <c r="E12" s="11" t="inlineStr"/>
    </row>
    <row r="13">
      <c r="A13" s="8" t="inlineStr">
        <is>
          <t>Event as a clinical concept</t>
        </is>
      </c>
      <c r="B13" s="9" t="inlineStr"/>
      <c r="C13" s="8" t="n"/>
      <c r="D13" s="10" t="inlineStr">
        <is>
          <t>The clinical entity, with the MedDRA terms and version underneath it — not a single preferred term.</t>
        </is>
      </c>
      <c r="E13" s="8" t="inlineStr"/>
    </row>
    <row r="14">
      <c r="A14" s="11" t="inlineStr">
        <is>
          <t>EPITT number, where applicable</t>
        </is>
      </c>
      <c r="B14" s="9" t="inlineStr"/>
      <c r="C14" s="11" t="n"/>
      <c r="D14" s="12" t="inlineStr">
        <is>
          <t>Enter where an EU procedure reference exists; otherwise 'not applicable'.</t>
        </is>
      </c>
      <c r="E14" s="11" t="inlineStr"/>
    </row>
    <row r="15">
      <c r="A15" s="8" t="inlineStr">
        <is>
          <t>Frozen data cut</t>
        </is>
      </c>
      <c r="B15" s="9" t="inlineStr"/>
      <c r="C15" s="8" t="n"/>
      <c r="D15" s="10" t="inlineStr">
        <is>
          <t>The date of the dataset scored. Scores are not comparable across cuts.</t>
        </is>
      </c>
      <c r="E15" s="8" t="inlineStr"/>
    </row>
    <row r="16">
      <c r="A16" s="11" t="inlineStr">
        <is>
          <t>Validation date and validating reviewer</t>
        </is>
      </c>
      <c r="B16" s="9" t="inlineStr"/>
      <c r="C16" s="11" t="n"/>
      <c r="D16" s="12" t="inlineStr">
        <is>
          <t>The date validation was recorded and the name of the reviewer who recorded it.</t>
        </is>
      </c>
      <c r="E16" s="11" t="inlineStr"/>
    </row>
    <row r="18">
      <c r="A18" s="6" t="inlineStr">
        <is>
          <t>2. Domain scores — score each domain against the written anchors BEFORE looking at the total</t>
        </is>
      </c>
    </row>
    <row r="19">
      <c r="A19" s="7" t="inlineStr">
        <is>
          <t>Domain</t>
        </is>
      </c>
      <c r="B19" s="7" t="inlineStr">
        <is>
          <t>Score (1–5)</t>
        </is>
      </c>
      <c r="C19" s="7" t="inlineStr">
        <is>
          <t>Anchor cited (1 / 3 / 5)</t>
        </is>
      </c>
      <c r="D19" s="7" t="inlineStr">
        <is>
          <t>Rationale — in the language of the evidence, not of the conclusion</t>
        </is>
      </c>
      <c r="E19" s="7" t="inlineStr">
        <is>
          <t>Evidence source</t>
        </is>
      </c>
    </row>
    <row r="20" ht="48" customHeight="1">
      <c r="A20" s="13" t="inlineStr">
        <is>
          <t>Clinical impact</t>
        </is>
      </c>
      <c r="B20" s="9" t="n"/>
      <c r="C20" s="14" t="inlineStr"/>
      <c r="D20" s="14" t="inlineStr">
        <is>
          <t>Seriousness, severity, reversibility, duration. Good: '3 of 16 assessable patients died; ANC nadir 0.1–0.4 × 10⁹/L with sepsis as the fatal pathway.' Bad: 'serious event.'</t>
        </is>
      </c>
      <c r="E20" s="10" t="inlineStr">
        <is>
          <t>Case series; outcome fields; adjudication record</t>
        </is>
      </c>
    </row>
    <row r="21" ht="48" customHeight="1">
      <c r="A21" s="15" t="inlineStr">
        <is>
          <t>Strength of evidence</t>
        </is>
      </c>
      <c r="B21" s="9" t="n"/>
      <c r="C21" s="14" t="inlineStr"/>
      <c r="D21" s="14" t="inlineStr">
        <is>
          <t>Assessable cases, consistency, any controlled comparison, mechanism. Disproportionality belongs here and nowhere else. Good: '20 unique cases, 16 assessable; 1 positive inadvertent rechallenge, recurrence day 9; PRR 7.20 (4.57–11.35).' Bad: 'strong evidence.'</t>
        </is>
      </c>
      <c r="E21" s="12" t="inlineStr">
        <is>
          <t>Line listing; T-11 worksheet; trial data; literature</t>
        </is>
      </c>
    </row>
    <row r="22" ht="48" customHeight="1">
      <c r="A22" s="13" t="inlineStr">
        <is>
          <t>Exposure</t>
        </is>
      </c>
      <c r="B22" s="9" t="n"/>
      <c r="C22" s="14" t="inlineStr"/>
      <c r="D22" s="14" t="inlineStr">
        <is>
          <t>Patients exposed and the trajectory of use. Name the source. State explicitly if not quantifiable. Never use report volume as an exposure estimate.</t>
        </is>
      </c>
      <c r="E22" s="10" t="inlineStr">
        <is>
          <t>Distribution, prescription or utilization data — named</t>
        </is>
      </c>
    </row>
    <row r="23" ht="48" customHeight="1">
      <c r="A23" s="15" t="inlineStr">
        <is>
          <t>Vulnerability</t>
        </is>
      </c>
      <c r="B23" s="9" t="n"/>
      <c r="C23" s="14" t="inlineStr"/>
      <c r="D23" s="14" t="inlineStr">
        <is>
          <t>The subgroup carrying the harm and its share of use. Good: 'chronic inflammatory disease population, frequent concomitant immunomodulators.' Bad: 'vulnerable patients.'</t>
        </is>
      </c>
      <c r="E23" s="12" t="inlineStr">
        <is>
          <t>Indication population data; co-medication analysis</t>
        </is>
      </c>
    </row>
    <row r="24" ht="48" customHeight="1">
      <c r="A24" s="13" t="inlineStr">
        <is>
          <t>Preventability</t>
        </is>
      </c>
      <c r="B24" s="9" t="n"/>
      <c r="C24" s="14" t="inlineStr"/>
      <c r="D24" s="14" t="inlineStr">
        <is>
          <t>The specific feasible measure. Good: 'neutrophil count is measurable, cheap and quantitative; onset concentrates in the first eight weeks.' Bad: 'monitoring possible.'</t>
        </is>
      </c>
      <c r="E24" s="10" t="inlineStr">
        <is>
          <t>Clinical literature; mechanism; feasibility assessment</t>
        </is>
      </c>
    </row>
    <row r="26">
      <c r="A26" s="6" t="inlineStr">
        <is>
          <t>3. Total and band</t>
        </is>
      </c>
    </row>
    <row r="27">
      <c r="A27" s="7" t="inlineStr">
        <is>
          <t>Field</t>
        </is>
      </c>
      <c r="B27" s="7" t="inlineStr">
        <is>
          <t>Value</t>
        </is>
      </c>
      <c r="C27" s="7" t="inlineStr"/>
      <c r="D27" s="7" t="inlineStr">
        <is>
          <t>Basis</t>
        </is>
      </c>
      <c r="E27" s="7" t="inlineStr"/>
    </row>
    <row r="28">
      <c r="A28" s="13" t="inlineStr">
        <is>
          <t>Total score (out of 25)</t>
        </is>
      </c>
      <c r="B28" s="16">
        <f>IF(COUNT(B20:B24)&lt;5,"",SUM(B20:B24))</f>
        <v/>
      </c>
      <c r="C28" s="8" t="n"/>
      <c r="D28" s="10" t="inlineStr">
        <is>
          <t>Live SUM of the five domain scores. Maximum 25. Stays blank until all five domains are scored.</t>
        </is>
      </c>
      <c r="E28" s="8" t="inlineStr"/>
    </row>
    <row r="29">
      <c r="A29" s="15" t="inlineStr">
        <is>
          <t>Band derived from the score</t>
        </is>
      </c>
      <c r="B29" s="17">
        <f>IF(B28="","",IF(B28&gt;=20,"High",IF(B28&gt;=13,"Medium",IF(B28&gt;=5,"Low",""))))</f>
        <v/>
      </c>
      <c r="C29" s="11" t="n"/>
      <c r="D29" s="12" t="inlineStr">
        <is>
          <t>High 20–25 · Medium 13–19 · Low 5–12. Urgent is reached only by override.</t>
        </is>
      </c>
      <c r="E29" s="11" t="inlineStr"/>
    </row>
    <row r="30">
      <c r="A30" s="8" t="inlineStr">
        <is>
          <t>Illustrative internal target to start assessment</t>
        </is>
      </c>
      <c r="B30" s="17">
        <f>IF(B29="","",IF(B29="High","10 working days",IF(B29="Medium","30 working days",IF(B29="Low","Next review cycle, at least quarterly",""))))</f>
        <v/>
      </c>
      <c r="C30" s="8" t="n"/>
      <c r="D30" s="10" t="inlineStr">
        <is>
          <t>Company target, not a regulatory deadline. Overwritten by the override block below when an override is applied.</t>
        </is>
      </c>
      <c r="E30" s="8" t="inlineStr"/>
    </row>
    <row r="32">
      <c r="A32" s="6" t="inlineStr">
        <is>
          <t>4. Clinical override — a first-class field on the same page as the total</t>
        </is>
      </c>
    </row>
    <row r="33">
      <c r="A33" s="7" t="inlineStr">
        <is>
          <t>Field</t>
        </is>
      </c>
      <c r="B33" s="7" t="inlineStr">
        <is>
          <t>Entry</t>
        </is>
      </c>
      <c r="C33" s="7" t="inlineStr"/>
      <c r="D33" s="7" t="inlineStr">
        <is>
          <t>What a good entry looks like</t>
        </is>
      </c>
      <c r="E33" s="7" t="inlineStr"/>
    </row>
    <row r="34">
      <c r="A34" s="13" t="inlineStr">
        <is>
          <t>Override applied?</t>
        </is>
      </c>
      <c r="B34" s="9" t="inlineStr">
        <is>
          <t>Not applied</t>
        </is>
      </c>
      <c r="C34" s="8" t="n"/>
      <c r="D34" s="10" t="inlineStr">
        <is>
          <t>Enter 'Applied' or 'Not applied'. A system with no overrides in a year is not disciplined; it is one in which people have stopped reading the cases.</t>
        </is>
      </c>
      <c r="E34" s="8" t="inlineStr"/>
    </row>
    <row r="35">
      <c r="A35" s="11" t="inlineStr">
        <is>
          <t>Band assigned by the committee</t>
        </is>
      </c>
      <c r="B35" s="9" t="inlineStr"/>
      <c r="C35" s="11" t="n"/>
      <c r="D35" s="12" t="inlineStr">
        <is>
          <t>Urgent / High / Medium / Low. Record the band the score produced AND the band assigned; both stay in the record.</t>
        </is>
      </c>
      <c r="E35" s="11" t="inlineStr"/>
    </row>
    <row r="36">
      <c r="A36" s="8" t="inlineStr">
        <is>
          <t>Trigger invoked (from the Anchors sheet)</t>
        </is>
      </c>
      <c r="B36" s="9" t="inlineStr"/>
      <c r="C36" s="8" t="n"/>
      <c r="D36" s="10" t="inlineStr">
        <is>
          <t>Name the trigger, e.g. 'product-quality defect or device malfunction with confirmed lot linkage'.</t>
        </is>
      </c>
      <c r="E36" s="8" t="inlineStr"/>
    </row>
    <row r="37" ht="44" customHeight="1">
      <c r="A37" s="11" t="inlineStr">
        <is>
          <t>Reason, in full sentences</t>
        </is>
      </c>
      <c r="B37" s="9" t="inlineStr"/>
      <c r="C37" s="11" t="n"/>
      <c r="D37" s="12" t="inlineStr">
        <is>
          <t>Good: 'score 16, medium band; assigned urgent; a six-fold rise in error reports in six months with 19 documented 10-fold overdoses traceable to a supplier change, fully preventable by a device correction.' Bad: 'clinical judgment.'</t>
        </is>
      </c>
      <c r="E37" s="11" t="inlineStr"/>
    </row>
    <row r="38">
      <c r="A38" s="8" t="inlineStr">
        <is>
          <t>Approver name, role, date</t>
        </is>
      </c>
      <c r="B38" s="9" t="inlineStr"/>
      <c r="C38" s="8" t="n"/>
      <c r="D38" s="10" t="inlineStr">
        <is>
          <t>A named person with the authority to assign the band, not a committee in the abstract.</t>
        </is>
      </c>
      <c r="E38" s="8" t="inlineStr"/>
    </row>
    <row r="39">
      <c r="A39" s="15" t="inlineStr">
        <is>
          <t>FINAL BAND CARRIED FORWARD</t>
        </is>
      </c>
      <c r="B39" s="18">
        <f>IF(B34="Applied",B35,B29)</f>
        <v/>
      </c>
      <c r="C39" s="11" t="n"/>
      <c r="D39" s="12" t="inlineStr">
        <is>
          <t>This is the band that goes into the tracker and the decision log.</t>
        </is>
      </c>
      <c r="E39" s="11" t="inlineStr"/>
    </row>
    <row r="41">
      <c r="A41" s="6" t="inlineStr">
        <is>
          <t>5. Fields that are recorded but never scored</t>
        </is>
      </c>
    </row>
    <row r="42">
      <c r="A42" s="7" t="inlineStr">
        <is>
          <t>Field</t>
        </is>
      </c>
      <c r="B42" s="7" t="inlineStr">
        <is>
          <t>Entry</t>
        </is>
      </c>
      <c r="C42" s="7" t="inlineStr"/>
      <c r="D42" s="7" t="inlineStr">
        <is>
          <t>Why it is not scored</t>
        </is>
      </c>
      <c r="E42" s="7" t="inlineStr"/>
    </row>
    <row r="43" ht="44" customHeight="1">
      <c r="A43" s="13" t="inlineStr">
        <is>
          <t>Benefit and therapeutic context</t>
        </is>
      </c>
      <c r="B43" s="9" t="inlineStr"/>
      <c r="C43" s="8" t="n"/>
      <c r="D43" s="10" t="inlineStr">
        <is>
          <t>Narrative only. A benefit domain that awards points for a favorable balance becomes a mechanism for deprioritizing risks in valuable products. Record: alternatives available, severity of the treated condition, consequence of discontinuation.</t>
        </is>
      </c>
      <c r="E43" s="8" t="inlineStr"/>
    </row>
    <row r="44" ht="44" customHeight="1">
      <c r="A44" s="15" t="inlineStr">
        <is>
          <t>Statutory obligations triggered</t>
        </is>
      </c>
      <c r="B44" s="9" t="inlineStr"/>
      <c r="C44" s="11" t="n"/>
      <c r="D44" s="12" t="inlineStr">
        <is>
          <t>These run on their own legal timetables regardless of band. Emerging safety issue notification: in writing to the NCAs of Member States where authorised and to EMA as soon as possible and no later than 3 working days (GVP Module IX Rev 1, IX.C.2). Expedited ICSR reporting: 15 calendar days. A low band never delays a legal obligation.</t>
        </is>
      </c>
      <c r="E44" s="11" t="inlineStr"/>
    </row>
    <row r="45" ht="44" customHeight="1">
      <c r="A45" s="13" t="inlineStr">
        <is>
          <t>Not an obligation at this step</t>
        </is>
      </c>
      <c r="B45" s="9" t="inlineStr"/>
      <c r="C45" s="8" t="n"/>
      <c r="D45" s="10" t="inlineStr">
        <is>
          <t>MAHs no longer notify validated signals to EMA and the national competent authorities: Article 21(2) of CIR (EU) No 520/2012 was deleted by Commission Implementing Regulation (EU) 2025/1466, in force 12 August 2025. A validated signal is carried through the queue under the company's own process.</t>
        </is>
      </c>
      <c r="E45" s="8" t="inlineStr"/>
    </row>
    <row r="46" ht="44" customHeight="1">
      <c r="A46" s="15" t="inlineStr">
        <is>
          <t>Next review date, and what would change it</t>
        </is>
      </c>
      <c r="B46" s="9" t="inlineStr"/>
      <c r="C46" s="11" t="n"/>
      <c r="D46" s="12" t="inlineStr">
        <is>
          <t>A date, plus the specific information that would move the band — not 'when new data arrive'.</t>
        </is>
      </c>
      <c r="E46" s="11" t="inlineStr"/>
    </row>
    <row r="48">
      <c r="A48" s="6" t="inlineStr">
        <is>
          <t>6. Sign-off</t>
        </is>
      </c>
    </row>
    <row r="49">
      <c r="A49" s="7" t="inlineStr">
        <is>
          <t>Field</t>
        </is>
      </c>
      <c r="B49" s="7" t="inlineStr">
        <is>
          <t>Entry</t>
        </is>
      </c>
      <c r="C49" s="7" t="inlineStr"/>
      <c r="D49" s="7" t="inlineStr">
        <is>
          <t>Requirement</t>
        </is>
      </c>
      <c r="E49" s="7" t="inlineStr"/>
    </row>
    <row r="50">
      <c r="A50" s="8" t="inlineStr">
        <is>
          <t>Scorer: name, role, date</t>
        </is>
      </c>
      <c r="B50" s="9" t="inlineStr"/>
      <c r="C50" s="8" t="n"/>
      <c r="D50" s="10" t="inlineStr">
        <is>
          <t>The person who scored the domains.</t>
        </is>
      </c>
      <c r="E50" s="8" t="inlineStr"/>
    </row>
    <row r="51">
      <c r="A51" s="11" t="inlineStr">
        <is>
          <t>Second reviewer: name, role, date</t>
        </is>
      </c>
      <c r="B51" s="9" t="inlineStr"/>
      <c r="C51" s="11" t="n"/>
      <c r="D51" s="12" t="inlineStr">
        <is>
          <t>Mandatory for the high and urgent bands.</t>
        </is>
      </c>
      <c r="E51" s="11" t="inlineStr"/>
    </row>
    <row r="53">
      <c r="A53" s="3" t="inlineStr">
        <is>
          <t>This template is educational. It does not replace applicable law, current regulatory guidance, medical judgment, or company procedures. Adapt it to your own procedures before use.</t>
        </is>
      </c>
    </row>
  </sheetData>
  <mergeCells count="17">
    <mergeCell ref="B13:C13"/>
    <mergeCell ref="B38:C38"/>
    <mergeCell ref="B16:C16"/>
    <mergeCell ref="B44:C44"/>
    <mergeCell ref="B15:C15"/>
    <mergeCell ref="B11:C11"/>
    <mergeCell ref="B51:C51"/>
    <mergeCell ref="B34:C34"/>
    <mergeCell ref="B37:C37"/>
    <mergeCell ref="B45:C45"/>
    <mergeCell ref="B46:C46"/>
    <mergeCell ref="B36:C36"/>
    <mergeCell ref="B14:C14"/>
    <mergeCell ref="B50:C50"/>
    <mergeCell ref="B35:C35"/>
    <mergeCell ref="B43:C43"/>
    <mergeCell ref="B12:C12"/>
  </mergeCells>
  <dataValidations count="2">
    <dataValidation sqref="B20:B24" showDropDown="0" showInputMessage="0" showErrorMessage="0" allowBlank="1" errorTitle="Score out of range" error="Scores run from 1 to 5. Anchors are defined at 1, 3 and 5; 2 and 4 denote a position between adjacent anchors and must be explained in the rationale." type="whole" operator="between">
      <formula1>1</formula1>
      <formula2>5</formula2>
    </dataValidation>
    <dataValidation sqref="B34" showDropDown="0" showInputMessage="0" showErrorMessage="0" allowBlank="1" type="list">
      <formula1>"Not applied,Applied"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T-06 — Five-domain scoring anchors, bands and override triggers</t>
        </is>
      </c>
    </row>
    <row r="2">
      <c r="A2" s="2" t="inlineStr">
        <is>
          <t>Signal Management in Pharmacovigilance</t>
        </is>
      </c>
    </row>
    <row r="3">
      <c r="A3" s="3" t="inlineStr">
        <is>
          <t>Dr. Hafez Selim, MD, PhD  ·  Selim Medical Press</t>
        </is>
      </c>
    </row>
    <row r="4">
      <c r="A4" s="4" t="inlineStr">
        <is>
          <t>When to use: The written anchors are what make two reviewers agree. A scale without them is a habit with numbers attached.</t>
        </is>
      </c>
    </row>
    <row r="6">
      <c r="A6" s="5" t="inlineStr">
        <is>
          <t>Illustrative company design, not a regulatory requirement. Anchors are defined at 1, 3 and 5; scores of 2 and 4 denote a position between the adjacent anchors and must be explained in the worksheet rationale.</t>
        </is>
      </c>
    </row>
    <row r="8">
      <c r="A8" s="7" t="inlineStr">
        <is>
          <t>Domain</t>
        </is>
      </c>
      <c r="B8" s="7" t="inlineStr">
        <is>
          <t>1 point</t>
        </is>
      </c>
      <c r="C8" s="7" t="inlineStr">
        <is>
          <t>3 points</t>
        </is>
      </c>
      <c r="D8" s="7" t="inlineStr">
        <is>
          <t>5 points</t>
        </is>
      </c>
    </row>
    <row r="9" ht="62" customHeight="1">
      <c r="A9" s="13" t="inlineStr">
        <is>
          <t>Clinical impact</t>
        </is>
      </c>
      <c r="B9" s="8" t="inlineStr">
        <is>
          <t>Non-serious, self-limiting, resolves without intervention, no lasting effect on function</t>
        </is>
      </c>
      <c r="C9" s="8" t="inlineStr">
        <is>
          <t>Serious by regulatory criteria, reversible with recognized treatment, no expected permanent sequelae</t>
        </is>
      </c>
      <c r="D9" s="8" t="inlineStr">
        <is>
          <t>Fatal, life-threatening, or irreversible (permanent organ damage, disability, congenital anomaly) in a substantial proportion of affected patients</t>
        </is>
      </c>
    </row>
    <row r="10" ht="62" customHeight="1">
      <c r="A10" s="15" t="inlineStr">
        <is>
          <t>Strength of evidence</t>
        </is>
      </c>
      <c r="B10" s="11" t="inlineStr">
        <is>
          <t>Statistical or operational alert only, or isolated reports without diagnostic criteria or documented time course</t>
        </is>
      </c>
      <c r="C10" s="11" t="inlineStr">
        <is>
          <t>Coherent series with criteria and compatible latency in several cases, plus one supporting stream (disproportionality above the screening threshold, class finding, or plausible mechanism)</t>
        </is>
      </c>
      <c r="D10" s="11" t="inlineStr">
        <is>
          <t>Concordant findings across streams with different biases, including a controlled comparison, together with a positive rechallenge or a demonstrated mechanism</t>
        </is>
      </c>
    </row>
    <row r="11" ht="62" customHeight="1">
      <c r="A11" s="13" t="inlineStr">
        <is>
          <t>Exposure</t>
        </is>
      </c>
      <c r="B11" s="8" t="inlineStr">
        <is>
          <t>Small, well-characterized population; stable or declining use; single market or restricted distribution</t>
        </is>
      </c>
      <c r="C11" s="8" t="inlineStr">
        <is>
          <t>Tens of thousands exposed; stable or moderately growing use across several markets</t>
        </is>
      </c>
      <c r="D11" s="8" t="inlineStr">
        <is>
          <t>Millions exposed, mass administration, population-wide use, or a launch trajectory where exposure at the time of action will far exceed exposure at scoring</t>
        </is>
      </c>
    </row>
    <row r="12" ht="62" customHeight="1">
      <c r="A12" s="15" t="inlineStr">
        <is>
          <t>Vulnerability</t>
        </is>
      </c>
      <c r="B12" s="11" t="inlineStr">
        <is>
          <t>No recognized excess susceptibility in the exposed population; event does not concentrate in any identifiable subgroup</t>
        </is>
      </c>
      <c r="C12" s="11" t="inlineStr">
        <is>
          <t>A definable subgroup (renal or hepatic impairment, older adults, a common co-medication) carries recognizably greater risk and forms a meaningful share of use</t>
        </is>
      </c>
      <c r="D12" s="11" t="inlineStr">
        <is>
          <t>Harm falls on those least able to recover or least able to consent to risk: pregnancy and the fetus, neonates and children, people unable to report symptoms, healthy recipients of a preventive intervention</t>
        </is>
      </c>
    </row>
    <row r="13" ht="62" customHeight="1">
      <c r="A13" s="13" t="inlineStr">
        <is>
          <t>Preventability</t>
        </is>
      </c>
      <c r="B13" s="8" t="inlineStr">
        <is>
          <t>No known predictor, no early marker, no modifiable use factor; the event cannot presently be anticipated</t>
        </is>
      </c>
      <c r="C13" s="8" t="inlineStr">
        <is>
          <t>Partly preventable: a risk factor or co-medication can be avoided in some patients, or earlier recognition would reduce severity, but no reliable monitoring test exists</t>
        </is>
      </c>
      <c r="D13" s="8" t="inlineStr">
        <is>
          <t>Largely preventable by a feasible measure (a laboratory test with a known window, a contraindication, a dose cap, a device or packaging correction) that would plausibly convert severe outcomes into avoided or recoverable ones</t>
        </is>
      </c>
    </row>
    <row r="15">
      <c r="A15" s="6" t="inlineStr">
        <is>
          <t>Priority bands and illustrative response targets</t>
        </is>
      </c>
    </row>
    <row r="16">
      <c r="A16" s="7" t="inlineStr">
        <is>
          <t>Band</t>
        </is>
      </c>
      <c r="B16" s="7" t="inlineStr">
        <is>
          <t>Total score</t>
        </is>
      </c>
      <c r="C16" s="7" t="inlineStr">
        <is>
          <t>Illustrative internal target to start assessment</t>
        </is>
      </c>
      <c r="D16" s="7" t="inlineStr">
        <is>
          <t>Governance route</t>
        </is>
      </c>
    </row>
    <row r="17">
      <c r="A17" s="13" t="inlineStr">
        <is>
          <t>Urgent</t>
        </is>
      </c>
      <c r="B17" s="8" t="inlineStr">
        <is>
          <t>Any score, by override</t>
        </is>
      </c>
      <c r="C17" s="8" t="inlineStr">
        <is>
          <t>Same or next working day</t>
        </is>
      </c>
      <c r="D17" s="8" t="inlineStr">
        <is>
          <t>Ad hoc committee; QPPV or equivalent notified immediately</t>
        </is>
      </c>
    </row>
    <row r="18">
      <c r="A18" s="15" t="inlineStr">
        <is>
          <t>High</t>
        </is>
      </c>
      <c r="B18" s="11" t="inlineStr">
        <is>
          <t>20 to 25</t>
        </is>
      </c>
      <c r="C18" s="11" t="inlineStr">
        <is>
          <t>10 working days</t>
        </is>
      </c>
      <c r="D18" s="11" t="inlineStr">
        <is>
          <t>Next scheduled committee; standing agenda position</t>
        </is>
      </c>
    </row>
    <row r="19">
      <c r="A19" s="13" t="inlineStr">
        <is>
          <t>Medium</t>
        </is>
      </c>
      <c r="B19" s="8" t="inlineStr">
        <is>
          <t>13 to 19</t>
        </is>
      </c>
      <c r="C19" s="8" t="inlineStr">
        <is>
          <t>30 working days</t>
        </is>
      </c>
      <c r="D19" s="8" t="inlineStr">
        <is>
          <t>Next scheduled committee</t>
        </is>
      </c>
    </row>
    <row r="20">
      <c r="A20" s="15" t="inlineStr">
        <is>
          <t>Low</t>
        </is>
      </c>
      <c r="B20" s="11" t="inlineStr">
        <is>
          <t>5 to 12</t>
        </is>
      </c>
      <c r="C20" s="11" t="inlineStr">
        <is>
          <t>Next review cycle, at least quarterly</t>
        </is>
      </c>
      <c r="D20" s="11" t="inlineStr">
        <is>
          <t>Batch review; escalation on any new qualifying information</t>
        </is>
      </c>
    </row>
    <row r="21">
      <c r="A21" s="5" t="inlineStr">
        <is>
          <t>These response targets are illustrative company targets. They are not regulatory deadlines and they do not displace any statutory clock.</t>
        </is>
      </c>
    </row>
    <row r="23">
      <c r="A23" s="6" t="inlineStr">
        <is>
          <t>Urgency triggers that override the score</t>
        </is>
      </c>
    </row>
    <row r="24">
      <c r="A24" s="7" t="inlineStr">
        <is>
          <t>Trigger</t>
        </is>
      </c>
      <c r="B24" s="7" t="inlineStr">
        <is>
          <t>Why it outruns the total</t>
        </is>
      </c>
      <c r="C24" s="7" t="inlineStr">
        <is>
          <t>Minimum record</t>
        </is>
      </c>
      <c r="D24" s="7" t="inlineStr"/>
    </row>
    <row r="25">
      <c r="A25" s="13" t="inlineStr">
        <is>
          <t>Fatal cluster in a short interval</t>
        </is>
      </c>
      <c r="B25" s="8" t="inlineStr">
        <is>
          <t>Domain scores average across a series and dilute a concentrated pattern</t>
        </is>
      </c>
      <c r="C25" s="8" t="inlineStr">
        <is>
          <t>Cases, interval, exposure context, time of escalation</t>
        </is>
      </c>
      <c r="D25" s="8" t="inlineStr"/>
    </row>
    <row r="26">
      <c r="A26" s="15" t="inlineStr">
        <is>
          <t>Rapid geographic or temporal spread</t>
        </is>
      </c>
      <c r="B26" s="11" t="inlineStr">
        <is>
          <t>Growth rate is not represented in a point-in-time exposure score</t>
        </is>
      </c>
      <c r="C26" s="11" t="inlineStr">
        <is>
          <t>Countries, dates, source of the observation</t>
        </is>
      </c>
      <c r="D26" s="11" t="inlineStr"/>
    </row>
    <row r="27">
      <c r="A27" s="13" t="inlineStr">
        <is>
          <t>Product-quality defect or device malfunction</t>
        </is>
      </c>
      <c r="B27" s="8" t="inlineStr">
        <is>
          <t>Hazard is in the presentation, not the pharmacology, so clinical impact scores the wrong thing</t>
        </is>
      </c>
      <c r="C27" s="8" t="inlineStr">
        <is>
          <t>Lot or batch linkage, affected markets, quality notification</t>
        </is>
      </c>
      <c r="D27" s="8" t="inlineStr"/>
    </row>
    <row r="28">
      <c r="A28" s="15" t="inlineStr">
        <is>
          <t>Medication-error cluster with serious outcomes</t>
        </is>
      </c>
      <c r="B28" s="11" t="inlineStr">
        <is>
          <t>Preventability may be total while pharmacologic impact appears ordinary</t>
        </is>
      </c>
      <c r="C28" s="11" t="inlineStr">
        <is>
          <t>Error type, error rate trend, proposed correction</t>
        </is>
      </c>
      <c r="D28" s="11" t="inlineStr"/>
    </row>
    <row r="29">
      <c r="A29" s="13" t="inlineStr">
        <is>
          <t>Regulatory request or authority-published potential signal</t>
        </is>
      </c>
      <c r="B29" s="8" t="inlineStr">
        <is>
          <t>An external deadline exists irrespective of internal ranking</t>
        </is>
      </c>
      <c r="C29" s="8" t="inlineStr">
        <is>
          <t>Request, authority, date, response owner</t>
        </is>
      </c>
      <c r="D29" s="8" t="inlineStr"/>
    </row>
    <row r="30">
      <c r="A30" s="15" t="inlineStr">
        <is>
          <t>Credible media or patient-community amplification</t>
        </is>
      </c>
      <c r="B30" s="11" t="inlineStr">
        <is>
          <t>Behavioral consequences (discontinuation, stimulated reporting) arrive before the assessment</t>
        </is>
      </c>
      <c r="C30" s="11" t="inlineStr">
        <is>
          <t>Source, reach, communication plan owner</t>
        </is>
      </c>
      <c r="D30" s="11" t="inlineStr"/>
    </row>
    <row r="31">
      <c r="A31" s="5" t="inlineStr">
        <is>
          <t>An override is a recorded decision, not a correction of the arithmetic. Where the same category of signal is overridden every time, the anchors need revision rather than repeated correction by hand.</t>
        </is>
      </c>
    </row>
    <row r="33">
      <c r="A33" s="3" t="inlineStr">
        <is>
          <t>This template is educational. It does not replace applicable law, current regulatory guidance, medical judgment, or company procedures. Adapt it to your own procedures before use.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66" customWidth="1" min="3" max="3"/>
    <col width="52" customWidth="1" min="4" max="4"/>
  </cols>
  <sheetData>
    <row r="1">
      <c r="A1" s="1" t="inlineStr">
        <is>
          <t>T-06 — Worked examples — a score that worked and a score that failed</t>
        </is>
      </c>
    </row>
    <row r="2">
      <c r="A2" s="2" t="inlineStr">
        <is>
          <t>Signal Management in Pharmacovigilance</t>
        </is>
      </c>
    </row>
    <row r="3">
      <c r="A3" s="3" t="inlineStr">
        <is>
          <t>Dr. Hafez Selim, MD, PhD  ·  Selim Medical Press</t>
        </is>
      </c>
    </row>
    <row r="4">
      <c r="A4" s="4" t="inlineStr">
        <is>
          <t>When to use: Read before scoring your first signal. All figures illustrative.</t>
        </is>
      </c>
    </row>
    <row r="7">
      <c r="A7" s="6" t="inlineStr">
        <is>
          <t>Velantor agranulocytosis, data cut 30 June, Year 2 — total 21/25, high band, no override</t>
        </is>
      </c>
    </row>
    <row r="8">
      <c r="A8" s="7" t="inlineStr">
        <is>
          <t>Domain</t>
        </is>
      </c>
      <c r="B8" s="7" t="inlineStr">
        <is>
          <t>Score</t>
        </is>
      </c>
      <c r="C8" s="7" t="inlineStr">
        <is>
          <t>Basis in the evidence</t>
        </is>
      </c>
      <c r="D8" s="7" t="inlineStr">
        <is>
          <t>Why not the adjacent anchor</t>
        </is>
      </c>
    </row>
    <row r="9" ht="40" customHeight="1">
      <c r="A9" s="13" t="inlineStr">
        <is>
          <t>Clinical impact</t>
        </is>
      </c>
      <c r="B9" s="8" t="n">
        <v>5</v>
      </c>
      <c r="C9" s="8" t="inlineStr">
        <is>
          <t>3 of 16 assessable patients died; neutrophil nadirs 0.1 to 0.4 × 10⁹/L with sepsis as the fatal pathway</t>
        </is>
      </c>
      <c r="D9" s="8" t="inlineStr">
        <is>
          <t>Above the 3 anchor because outcomes include death, not reversible serious events only</t>
        </is>
      </c>
    </row>
    <row r="10" ht="40" customHeight="1">
      <c r="A10" s="15" t="inlineStr">
        <is>
          <t>Strength of evidence</t>
        </is>
      </c>
      <c r="B10" s="11" t="n">
        <v>4</v>
      </c>
      <c r="C10" s="11" t="inlineStr">
        <is>
          <t>20 unique cases, 16 assessable; median onset 29.0 days (IQR 20–37); 1 positive inadvertent rechallenge with recurrence on day 9; PRR 7.20 (4.57–11.35), ROR 7.24 (4.58–11.43), IC 2.39 with IC₀₂₅ 1.71; trials 1 of 2,140 treated versus 0 of 1,605 comparator</t>
        </is>
      </c>
      <c r="D10" s="11" t="inlineStr">
        <is>
          <t>Below 5: no controlled epidemiologic estimate, and no demonstrated mechanism</t>
        </is>
      </c>
    </row>
    <row r="11" ht="40" customHeight="1">
      <c r="A11" s="13" t="inlineStr">
        <is>
          <t>Exposure</t>
        </is>
      </c>
      <c r="B11" s="8" t="n">
        <v>4</v>
      </c>
      <c r="C11" s="8" t="inlineStr">
        <is>
          <t>Approximately 180,000 patients at this cut, from approximately 35,000 twelve months earlier</t>
        </is>
      </c>
      <c r="D11" s="8" t="inlineStr">
        <is>
          <t>Below 5: not mass administration; above 3 because of the growth trajectory</t>
        </is>
      </c>
    </row>
    <row r="12" ht="40" customHeight="1">
      <c r="A12" s="15" t="inlineStr">
        <is>
          <t>Vulnerability</t>
        </is>
      </c>
      <c r="B12" s="11" t="n">
        <v>3</v>
      </c>
      <c r="C12" s="11" t="inlineStr">
        <is>
          <t>Chronic inflammatory disease population, frequent concomitant immunomodulators, which compounds marrow risk</t>
        </is>
      </c>
      <c r="D12" s="11" t="inlineStr">
        <is>
          <t>Below 5: not pregnancy, pediatric, or an unable-to-report population</t>
        </is>
      </c>
    </row>
    <row r="13" ht="40" customHeight="1">
      <c r="A13" s="13" t="inlineStr">
        <is>
          <t>Preventability</t>
        </is>
      </c>
      <c r="B13" s="8" t="n">
        <v>5</v>
      </c>
      <c r="C13" s="8" t="inlineStr">
        <is>
          <t>Neutrophil count is measurable, cheap and quantitative; onset concentrates in the first eight weeks; withdrawal plus G-CSF produced recovery in surviving cases</t>
        </is>
      </c>
      <c r="D13" s="8" t="inlineStr">
        <is>
          <t>A defined monitoring schedule would plausibly convert fatal outcomes into recoverable ones</t>
        </is>
      </c>
    </row>
    <row r="14">
      <c r="A14" s="13" t="inlineStr">
        <is>
          <t>Total</t>
        </is>
      </c>
      <c r="B14" s="18">
        <f>SUM(B9:B13)</f>
        <v/>
      </c>
      <c r="C14" s="8" t="inlineStr">
        <is>
          <t>High band; illustrative internal target 10 working days to assessment start</t>
        </is>
      </c>
      <c r="D14" s="8" t="inlineStr"/>
    </row>
    <row r="16">
      <c r="A16" s="6" t="inlineStr">
        <is>
          <t>Doxeprine pen dose-selection errors, data cut 31 October, Year 2 — total 16/25, medium band, OVERRIDDEN to urgent</t>
        </is>
      </c>
    </row>
    <row r="17">
      <c r="A17" s="7" t="inlineStr">
        <is>
          <t>Domain</t>
        </is>
      </c>
      <c r="B17" s="7" t="inlineStr">
        <is>
          <t>Score</t>
        </is>
      </c>
      <c r="C17" s="7" t="inlineStr">
        <is>
          <t>Basis in the evidence</t>
        </is>
      </c>
      <c r="D17" s="7" t="inlineStr">
        <is>
          <t>What the score missed</t>
        </is>
      </c>
    </row>
    <row r="18" ht="40" customHeight="1">
      <c r="A18" s="13" t="inlineStr">
        <is>
          <t>Clinical impact</t>
        </is>
      </c>
      <c r="B18" s="8" t="n">
        <v>3</v>
      </c>
      <c r="C18" s="8" t="inlineStr">
        <is>
          <t>6 hospitalizations, no deaths; effects are the expected pharmacology of a 10-fold dose and are reversible with supportive care</t>
        </is>
      </c>
      <c r="D18" s="8" t="inlineStr">
        <is>
          <t>The domain scored the pharmacologic event, which carries no information about the defect</t>
        </is>
      </c>
    </row>
    <row r="19" ht="40" customHeight="1">
      <c r="A19" s="15" t="inlineStr">
        <is>
          <t>Strength of evidence</t>
        </is>
      </c>
      <c r="B19" s="11" t="n">
        <v>4</v>
      </c>
      <c r="C19" s="11" t="inlineStr">
        <is>
          <t>Sharp temporal break (43 versus 7 reports), a consistent described failure mode in 11 reports, lot-level linkage in 26 of 31 reports from affected markets</t>
        </is>
      </c>
      <c r="D19" s="11" t="inlineStr">
        <is>
          <t>—</t>
        </is>
      </c>
    </row>
    <row r="20" ht="40" customHeight="1">
      <c r="A20" s="13" t="inlineStr">
        <is>
          <t>Exposure</t>
        </is>
      </c>
      <c r="B20" s="8" t="n">
        <v>2</v>
      </c>
      <c r="C20" s="8" t="inlineStr">
        <is>
          <t>Exposure not quantified at this cut; affected lots confined to a subset of markets. Scored low with the uncertainty recorded rather than hidden</t>
        </is>
      </c>
      <c r="D20" s="8" t="inlineStr">
        <is>
          <t>The denominator was unavailable, so the domain could not be scored properly</t>
        </is>
      </c>
    </row>
    <row r="21" ht="40" customHeight="1">
      <c r="A21" s="15" t="inlineStr">
        <is>
          <t>Vulnerability</t>
        </is>
      </c>
      <c r="B21" s="11" t="n">
        <v>2</v>
      </c>
      <c r="C21" s="11" t="inlineStr">
        <is>
          <t>The hazard arises from the device, not from patient susceptibility; no vulnerable subgroup is over-represented</t>
        </is>
      </c>
      <c r="D21" s="11" t="inlineStr">
        <is>
          <t>—</t>
        </is>
      </c>
    </row>
    <row r="22" ht="40" customHeight="1">
      <c r="A22" s="13" t="inlineStr">
        <is>
          <t>Preventability</t>
        </is>
      </c>
      <c r="B22" s="8" t="n">
        <v>5</v>
      </c>
      <c r="C22" s="8" t="inlineStr">
        <is>
          <t>A selector detent change, differentiated pen coloring and targeted education address the mechanism directly</t>
        </is>
      </c>
      <c r="D22" s="8" t="inlineStr">
        <is>
          <t>—</t>
        </is>
      </c>
    </row>
    <row r="23">
      <c r="A23" s="13" t="inlineStr">
        <is>
          <t>Total</t>
        </is>
      </c>
      <c r="B23" s="18">
        <f>SUM(B18:B22)</f>
        <v/>
      </c>
      <c r="C23" s="8" t="inlineStr">
        <is>
          <t>Medium band by score — which is the wrong answer, and the committee should say so out loud rather than adjust a domain until the arithmetic agrees</t>
        </is>
      </c>
      <c r="D23" s="8" t="inlineStr"/>
    </row>
    <row r="24" ht="56" customHeight="1">
      <c r="A24" s="15" t="inlineStr">
        <is>
          <t>Override recorded</t>
        </is>
      </c>
      <c r="B24" s="15" t="inlineStr">
        <is>
          <t>Urgent</t>
        </is>
      </c>
      <c r="C24" s="11" t="inlineStr">
        <is>
          <t>Score 16, medium band; assigned urgent; reason, a six-fold rise in error reports in six months with 19 documented 10-fold overdoses traceable to a supplier change, fully preventable by a device correction, where every further week of distribution generates further errors at the observed rate; approver, committee chair and head of device safety, with the date</t>
        </is>
      </c>
      <c r="D24" s="11" t="inlineStr">
        <is>
          <t>Triggers invoked: product-quality or device element with confirmed lot linkage; medication-error cluster with serious outcomes</t>
        </is>
      </c>
    </row>
    <row r="25">
      <c r="A25" s="5" t="inlineStr">
        <is>
          <t>The scale mis-ranked the signal for structural reasons, not because anyone scored it dishonestly. If device and use-error signals are overridden every time, the anchors need revision.</t>
        </is>
      </c>
    </row>
    <row r="27">
      <c r="A27" s="3" t="inlineStr">
        <is>
          <t>This template is educational. It does not replace applicable law, current regulatory guidance, medical judgment, or company procedures. Adapt it to your own procedures before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2026-09-14T16:57:06Z</dcterms:created>
  <dcterms:modified xmlns:dcterms="http://purl.org/dc/terms/" xmlns:xsi="http://www.w3.org/2001/XMLSchema-instance" xsi:type="dcterms:W3CDTF">2026-09-14T16:57:06Z</dcterms:modified>
</cp:coreProperties>
</file>